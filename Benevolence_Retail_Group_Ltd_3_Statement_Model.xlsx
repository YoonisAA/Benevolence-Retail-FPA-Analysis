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aa4911582f48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a14a1f6cf9d4874"/>
  </x:sheets>
</x:workbook>
</file>

<file path=xl/sharedStrings.xml><?xml version="1.0" encoding="utf-8"?>
<x:sst xmlns:x="http://schemas.openxmlformats.org/spreadsheetml/2006/main">
  <x:si>
    <x:t xml:space="preserve">Projections</x:t>
  </x:si>
  <x:si>
    <x:t xml:space="preserve">x</x:t>
  </x:si>
  <x:si>
    <x:t xml:space="preserve">Income Statement</x:t>
  </x:si>
  <x:si>
    <x:t xml:space="preserve">Revenue</x:t>
  </x:si>
  <x:si>
    <x:t xml:space="preserve">Cost of Goods Sold</x:t>
  </x:si>
  <x:si>
    <x:t xml:space="preserve">Operating Expenses</x:t>
  </x:si>
  <x:si>
    <x:t xml:space="preserve">Operating Profit/EBIT</x:t>
  </x:si>
  <x:si>
    <x:t xml:space="preserve">Interest Income</x:t>
  </x:si>
  <x:si>
    <x:t xml:space="preserve">Interest Expense</x:t>
  </x:si>
  <x:si>
    <x:t xml:space="preserve">Pretax Profit/EBT</x:t>
  </x:si>
  <x:si>
    <x:t xml:space="preserve">Tax Expense</x:t>
  </x:si>
  <x:si>
    <x:t xml:space="preserve">Net Income</x:t>
  </x:si>
  <x:si>
    <x:t xml:space="preserve">Balance Sheet</x:t>
  </x:si>
  <x:si>
    <x:t xml:space="preserve">Cash and Equivalents</x:t>
  </x:si>
  <x:si>
    <x:t xml:space="preserve">Accounts Receivable</x:t>
  </x:si>
  <x:si>
    <x:t xml:space="preserve">Inventory</x:t>
  </x:si>
  <x:si>
    <x:t xml:space="preserve">Prepaid Expenses &amp; Other WC Assets</x:t>
  </x:si>
  <x:si>
    <x:t xml:space="preserve">Current Assets</x:t>
  </x:si>
  <x:si>
    <x:t xml:space="preserve">Property Plant &amp; Equipment</x:t>
  </x:si>
  <x:si>
    <x:t xml:space="preserve">Intangible Assets</x:t>
  </x:si>
  <x:si>
    <x:t xml:space="preserve">Non Current Assets</x:t>
  </x:si>
  <x:si>
    <x:t xml:space="preserve">Total Assets</x:t>
  </x:si>
  <x:si>
    <x:t xml:space="preserve">Accounts Payable</x:t>
  </x:si>
  <x:si>
    <x:t xml:space="preserve">Accrued Expenses and Other</x:t>
  </x:si>
  <x:si>
    <x:t xml:space="preserve">Other Current Liabilities</x:t>
  </x:si>
  <x:si>
    <x:t xml:space="preserve">Total Current Liabilities</x:t>
  </x:si>
  <x:si>
    <x:t xml:space="preserve">Revolver</x:t>
  </x:si>
  <x:si>
    <x:t xml:space="preserve">Long Term Debt</x:t>
  </x:si>
  <x:si>
    <x:t xml:space="preserve">Other Liabilities</x:t>
  </x:si>
  <x:si>
    <x:t xml:space="preserve">Total Liabilities</x:t>
  </x:si>
  <x:si>
    <x:t xml:space="preserve">Common Stock and APIC</x:t>
  </x:si>
  <x:si>
    <x:t xml:space="preserve">Treasury Stock</x:t>
  </x:si>
  <x:si>
    <x:t xml:space="preserve">Other Comprehensive Income</x:t>
  </x:si>
  <x:si>
    <x:t xml:space="preserve">Retained Earnings</x:t>
  </x:si>
  <x:si>
    <x:t xml:space="preserve">Total Equity</x:t>
  </x:si>
  <x:si>
    <x:t xml:space="preserve">Total Liabilites and Equity</x:t>
  </x:si>
  <x:si>
    <x:t xml:space="preserve">Balance Check</x:t>
  </x:si>
  <x:si>
    <x:t xml:space="preserve">Schedules</x:t>
  </x:si>
  <x:si>
    <x:t xml:space="preserve">Common Stock and APIC - BOP</x:t>
  </x:si>
  <x:si>
    <x:t xml:space="preserve">New Issuances of Common Stock</x:t>
  </x:si>
  <x:si>
    <x:t xml:space="preserve">Treasury Stock - BOP</x:t>
  </x:si>
  <x:si>
    <x:t xml:space="preserve">New repurchases (buybacks)</x:t>
  </x:si>
  <x:si>
    <x:t xml:space="preserve">Treasury Stock - EOP</x:t>
  </x:si>
  <x:si>
    <x:t xml:space="preserve">Retained Earnings - BOP</x:t>
  </x:si>
  <x:si>
    <x:t xml:space="preserve">Dividends</x:t>
  </x:si>
  <x:si>
    <x:t xml:space="preserve">Retained Earnings - EOP</x:t>
  </x:si>
  <x:si>
    <x:t xml:space="preserve">Cash Flow Statement</x:t>
  </x:si>
  <x:si>
    <x:t xml:space="preserve">Depreciation &amp; Amortization</x:t>
  </x:si>
  <x:si>
    <x:t xml:space="preserve">Cash Flow from Operations</x:t>
  </x:si>
  <x:si>
    <x:t xml:space="preserve">Capital Expenditures</x:t>
  </x:si>
  <x:si>
    <x:t xml:space="preserve">Purchases of Intangible Assets</x:t>
  </x:si>
  <x:si>
    <x:t xml:space="preserve">Cash for Investing Activities</x:t>
  </x:si>
  <x:si>
    <x:t xml:space="preserve">Issuances of Common Stock</x:t>
  </x:si>
  <x:si>
    <x:t xml:space="preserve">Repurchases</x:t>
  </x:si>
  <x:si>
    <x:t xml:space="preserve">Cash From Financing Activities</x:t>
  </x:si>
  <x:si>
    <x:t xml:space="preserve">Total Change in Cash</x:t>
  </x:si>
  <x:si>
    <x:t xml:space="preserve">Total Cash Flow Before Any Revolver Borrowing</x:t>
  </x:si>
  <x:si>
    <x:t xml:space="preserve">Total Revolver Borrowing Needed</x:t>
  </x:si>
</x:sst>
</file>

<file path=xl/styles.xml><?xml version="1.0" encoding="utf-8"?>
<x:styleSheet xmlns:x="http://schemas.openxmlformats.org/spreadsheetml/2006/main">
  <x:numFmts count="5">
    <x:numFmt numFmtId="164" formatCode="#,##0.0_);\(#,##0.0\)"/>
    <x:numFmt numFmtId="165" formatCode="0.0%"/>
    <x:numFmt numFmtId="166" formatCode="#,##0.0"/>
    <x:numFmt numFmtId="167" formatCode="0.0"/>
    <x:numFmt numFmtId="168" formatCode="0.0_);\(0.0\)"/>
  </x:numFmts>
  <x:fonts count="12">
    <x:font>
      <x:sz val="11"/>
      <x:color theme="1"/>
      <x:name val="Calibri"/>
    </x:font>
    <x:font>
      <x:sz val="11"/>
      <x:color theme="1"/>
      <x:name val="Calibri"/>
    </x:font>
    <x:font>
      <x:sz val="12"/>
      <x:color theme="1"/>
      <x:name val="Times New Roman"/>
    </x:font>
    <x:font>
      <x:b/>
      <x:sz val="12"/>
      <x:color theme="1"/>
      <x:name val="Times New Roman"/>
    </x:font>
    <x:font>
      <x:sz val="12"/>
      <x:color rgb="FF0070C0"/>
      <x:name val="Times New Roman"/>
    </x:font>
    <x:font>
      <x:i/>
      <x:sz val="12"/>
      <x:color theme="1"/>
      <x:name val="Times New Roman"/>
    </x:font>
    <x:font>
      <x:sz val="12"/>
      <x:name val="Times New Roman"/>
    </x:font>
    <x:font>
      <x:b/>
      <x:sz val="12"/>
      <x:name val="Times New Roman"/>
    </x:font>
    <x:font>
      <x:b/>
      <x:sz val="22"/>
      <x:color theme="1"/>
      <x:name val="Times New Roman"/>
    </x:font>
    <x:font>
      <x:b/>
      <x:sz val="26"/>
      <x:color theme="8" tint="-0.49998"/>
      <x:name val="Times New Roman"/>
    </x:font>
    <x:font>
      <x:sz val="26"/>
      <x:color theme="8" tint="-0.49998"/>
      <x:name val="Times New Roman"/>
    </x:font>
    <x:font>
      <x:sz val="14"/>
      <x:color theme="1"/>
      <x:name val="Times New Roman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theme="4" tint="0.39998"/>
      </x:patternFill>
    </x:fill>
  </x:fills>
  <x:borders count="3">
    <x:border/>
    <x:border>
      <x:bottom style="medium">
        <x:color indexed="64"/>
      </x:bottom>
    </x:border>
    <x:border>
      <x:bottom style="thin">
        <x:color indexed="64"/>
      </x:bottom>
    </x:border>
  </x:borders>
  <x:cellStyleXfs count="2">
    <x:xf numFmtId="0" fontId="0" fillId="0" borderId="0"/>
    <x:xf numFmtId="9" fontId="1" fillId="0" borderId="0" applyFont="0" applyFill="0" applyBorder="0" applyAlignment="0" applyProtection="0"/>
  </x:cellStyleXfs>
  <x:cellXfs count="30">
    <x:xf numFmtId="0" fontId="0" fillId="0" borderId="0" xfId="0"/>
    <x:xf numFmtId="0" fontId="2" fillId="0" borderId="0" xfId="0" applyFont="1" applyFill="1"/>
    <x:xf numFmtId="0" fontId="3" fillId="0" borderId="0" xfId="0" applyFont="1" applyFill="1"/>
    <x:xf numFmtId="164" fontId="4" fillId="0" borderId="0" xfId="0" applyNumberFormat="1" applyFont="1" applyFill="1"/>
    <x:xf numFmtId="164" fontId="2" fillId="0" borderId="0" xfId="0" applyNumberFormat="1" applyFont="1" applyFill="1"/>
    <x:xf numFmtId="164" fontId="3" fillId="0" borderId="0" xfId="0" applyNumberFormat="1" applyFont="1" applyFill="1"/>
    <x:xf numFmtId="0" fontId="3" fillId="0" borderId="1" xfId="0" applyFont="1" applyFill="1" applyBorder="1"/>
    <x:xf numFmtId="165" fontId="2" fillId="0" borderId="0" xfId="1" applyNumberFormat="1" applyFont="1" applyFill="1"/>
    <x:xf numFmtId="165" fontId="2" fillId="0" borderId="0" xfId="0" applyNumberFormat="1" applyFont="1" applyFill="1"/>
    <x:xf numFmtId="9" fontId="2" fillId="0" borderId="0" xfId="1" applyFont="1" applyFill="1"/>
    <x:xf numFmtId="164" fontId="2" fillId="2" borderId="0" xfId="0" applyNumberFormat="1" applyFont="1" applyFill="1"/>
    <x:xf numFmtId="0" fontId="5" fillId="0" borderId="0" xfId="0" applyFont="1" applyFill="1"/>
    <x:xf numFmtId="166" fontId="4" fillId="0" borderId="0" xfId="0" applyNumberFormat="1" applyFont="1" applyFill="1"/>
    <x:xf numFmtId="167" fontId="2" fillId="0" borderId="0" xfId="0" applyNumberFormat="1" applyFont="1" applyFill="1"/>
    <x:xf numFmtId="0" fontId="3" fillId="0" borderId="2" xfId="0" applyFont="1" applyFill="1" applyBorder="1"/>
    <x:xf numFmtId="164" fontId="3" fillId="0" borderId="2" xfId="0" applyNumberFormat="1" applyFont="1" applyFill="1" applyBorder="1"/>
    <x:xf numFmtId="164" fontId="3" fillId="0" borderId="1" xfId="0" applyNumberFormat="1" applyFont="1" applyFill="1" applyBorder="1"/>
    <x:xf numFmtId="166" fontId="3" fillId="0" borderId="2" xfId="0" applyNumberFormat="1" applyFont="1" applyFill="1" applyBorder="1"/>
    <x:xf numFmtId="168" fontId="2" fillId="0" borderId="0" xfId="0" applyNumberFormat="1" applyFont="1" applyFill="1"/>
    <x:xf numFmtId="168" fontId="3" fillId="0" borderId="0" xfId="0" applyNumberFormat="1" applyFont="1" applyFill="1"/>
    <x:xf numFmtId="168" fontId="4" fillId="0" borderId="0" xfId="0" applyNumberFormat="1" applyFont="1" applyFill="1"/>
    <x:xf numFmtId="168" fontId="6" fillId="0" borderId="0" xfId="0" applyNumberFormat="1" applyFont="1" applyFill="1"/>
    <x:xf numFmtId="9" fontId="4" fillId="0" borderId="0" xfId="1" applyFont="1" applyFill="1"/>
    <x:xf numFmtId="0" fontId="6" fillId="3" borderId="0" xfId="0" applyFont="1" applyFill="1"/>
    <x:xf numFmtId="0" fontId="7" fillId="3" borderId="0" xfId="0" applyFont="1" applyFill="1" applyAlignment="1">
      <x:alignment horizontal="centerContinuous"/>
    </x:xf>
    <x:xf numFmtId="0" fontId="8" fillId="0" borderId="0" xfId="0" applyFont="1" applyFill="1"/>
    <x:xf numFmtId="0" fontId="2" fillId="0" borderId="0" xfId="0" applyFont="1" applyFill="1" applyAlignment="1">
      <x:alignment horizontal="centerContinuous"/>
    </x:xf>
    <x:xf numFmtId="0" fontId="9" fillId="0" borderId="0" xfId="0" applyFont="1" applyFill="1" applyAlignment="1">
      <x:alignment horizontal="centerContinuous"/>
    </x:xf>
    <x:xf numFmtId="0" fontId="10" fillId="0" borderId="0" xfId="0" applyFont="1" applyFill="1" applyAlignment="1">
      <x:alignment horizontal="centerContinuous"/>
    </x:xf>
    <x:xf numFmtId="0" fontId="11" fillId="0" borderId="0" xfId="0" applyFont="1" applyFill="1" applyAlignment="1">
      <x:alignment horizontal="centerContinuous"/>
    </x:xf>
  </x:cellXfs>
  <x:cellStyles count="2">
    <x:cellStyle name="Normal" xfId="0"/>
    <x:cellStyle name="Percent" xfId="1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81afafdf9d442a" /><Relationship Type="http://schemas.openxmlformats.org/officeDocument/2006/relationships/theme" Target="/xl/theme/theme1.xml" Id="Rec7df2292d7b4e85" /><Relationship Type="http://schemas.openxmlformats.org/officeDocument/2006/relationships/sharedStrings" Target="/xl/sharedStrings.xml" Id="R78934f7c42284de2" /><Relationship Type="http://schemas.openxmlformats.org/officeDocument/2006/relationships/worksheet" Target="/xl/worksheets/sheet1.xml" Id="R4a14a1f6cf9d487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.75"/>
  <x:cols>
    <x:col min="1" max="1" width="9.140625" style="1" customWidth="0"/>
    <x:col min="2" max="2" width="3.7109375" style="1" customWidth="1"/>
    <x:col min="3" max="3" width="45.140625" style="1" customWidth="1"/>
    <x:col min="4" max="6" width="9.140625" style="1" customWidth="0"/>
    <x:col min="7" max="7" width="10.7109375" style="1" customWidth="1"/>
    <x:col min="8" max="16384" width="9.140625" style="1" customWidth="0"/>
  </x:cols>
  <x:sheetData>
    <x:row r="3" ht="33">
      <x:c r="C3" s="27" t="str">
        <x:v>Benevolence Retail Group Ltd.</x:v>
      </x:c>
      <x:c r="D3" s="28"/>
      <x:c r="E3" s="28"/>
      <x:c r="F3" s="28"/>
      <x:c r="G3" s="28"/>
      <x:c r="H3" s="28"/>
    </x:row>
    <x:row r="4" ht="18.75">
      <x:c r="C4" s="29" t="str">
        <x:v>Three Statement Model</x:v>
      </x:c>
      <x:c r="D4" s="26"/>
      <x:c r="E4" s="26"/>
      <x:c r="F4" s="26"/>
      <x:c r="G4" s="26"/>
      <x:c r="H4" s="26"/>
    </x:row>
    <x:row r="5">
      <x:c r="A5" s="1" t="str">
        <x:v>£ (GBP)</x:v>
      </x:c>
    </x:row>
    <x:row r="6">
      <x:c r="C6" s="23"/>
      <x:c r="D6" s="24" t="str">
        <x:v>FY2026</x:v>
      </x:c>
      <x:c r="E6" s="24"/>
      <x:c r="F6" s="24" t="str">
        <x:v>Projections</x:v>
      </x:c>
      <x:c r="G6" s="24" t="s">
        <x:v>0</x:v>
      </x:c>
      <x:c r="H6" s="24"/>
      <x:c r="I6" s="24"/>
      <x:c r="J6" s="24"/>
      <x:c r="K6" s="24"/>
    </x:row>
    <x:row r="7">
      <x:c r="C7" s="23"/>
      <x:c r="D7" s="23" t="str">
        <x:v>Budget</x:v>
      </x:c>
      <x:c r="E7" s="23" t="str">
        <x:v>Actual</x:v>
      </x:c>
      <x:c r="F7" s="23" t="n">
        <x:v>2027</x:v>
      </x:c>
      <x:c r="G7" s="23" t="n">
        <x:v>2028</x:v>
      </x:c>
      <x:c r="H7" s="23" t="n">
        <x:f t="shared" ref="H7:K7" si="0">G7+1</x:f>
        <x:v>2029</x:v>
      </x:c>
      <x:c r="I7" s="23" t="n">
        <x:f t="shared" si="0"/>
        <x:v>2030</x:v>
      </x:c>
      <x:c r="J7" s="23" t="n">
        <x:f t="shared" si="0"/>
        <x:v>2031</x:v>
      </x:c>
      <x:c r="K7" s="23" t="n">
        <x:f t="shared" si="0"/>
        <x:v>2032</x:v>
      </x:c>
    </x:row>
    <x:row r="8" ht="27">
      <x:c r="B8" s="1" t="s">
        <x:v>1</x:v>
      </x:c>
      <x:c r="C8" s="25" t="s">
        <x:v>2</x:v>
      </x:c>
    </x:row>
    <x:row r="10">
      <x:c r="C10" s="1" t="s">
        <x:v>3</x:v>
      </x:c>
      <x:c r="D10" s="3" t="n">
        <x:v>846000</x:v>
      </x:c>
      <x:c r="E10" s="3" t="n">
        <x:v>861500</x:v>
      </x:c>
      <x:c r="F10" s="3" t="n">
        <x:f>E10*(1+F24)</x:f>
        <x:v>913190</x:v>
      </x:c>
      <x:c r="G10" s="4" t="n">
        <x:f>F10*(1+G24)</x:f>
        <x:v>967981.4</x:v>
      </x:c>
      <x:c r="H10" s="4" t="n">
        <x:f t="shared" ref="H10:K10" si="1">G10*(1+H24)</x:f>
        <x:v>1021220.377</x:v>
      </x:c>
      <x:c r="I10" s="4" t="n">
        <x:f t="shared" si="1">H10*(1+I24)</x:f>
        <x:v>1077387.497735</x:v>
      </x:c>
      <x:c r="J10" s="4" t="n">
        <x:f t="shared" si="1">I10*(1+J24)</x:f>
        <x:v>1131256.87262175</x:v>
      </x:c>
      <x:c r="K10" s="4" t="n">
        <x:f t="shared" si="1">J10*(1+K24)</x:f>
        <x:v>1187819.7162528376</x:v>
      </x:c>
    </x:row>
    <x:row r="11">
      <x:c r="C11" s="1" t="s">
        <x:v>4</x:v>
      </x:c>
      <x:c r="D11" s="3" t="n">
        <x:v>-380100</x:v>
      </x:c>
      <x:c r="E11" s="3" t="n">
        <x:v>-385560</x:v>
      </x:c>
      <x:c r="F11" s="3" t="n">
        <x:f>-F10*(1-F25)</x:f>
        <x:v>-408693.6</x:v>
      </x:c>
      <x:c r="G11" s="4" t="n">
        <x:f>-G10*(1-G25)</x:f>
        <x:v>-433215.21599999996</x:v>
      </x:c>
      <x:c r="H11" s="4" t="n">
        <x:f>-H10*(1-H25)</x:f>
        <x:v>-457042.05288</x:v>
      </x:c>
      <x:c r="I11" s="4" t="n">
        <x:f t="shared" ref="I11:K11" si="2">-I10*(1-I25)</x:f>
        <x:v>-482179.36578839994</x:v>
      </x:c>
      <x:c r="J11" s="4" t="n">
        <x:f t="shared" si="2">-J10*(1-J25)</x:f>
        <x:v>-506288.33407781995</x:v>
      </x:c>
      <x:c r="K11" s="4" t="n">
        <x:f t="shared" si="2">-K10*(1-K25)</x:f>
        <x:v>-531602.750781711</x:v>
      </x:c>
    </x:row>
    <x:row r="12">
      <x:c r="C12" s="1" t="s">
        <x:v>5</x:v>
      </x:c>
      <x:c r="D12" s="3" t="n">
        <x:v>-162900</x:v>
      </x:c>
      <x:c r="E12" s="3" t="n">
        <x:v>-165240</x:v>
      </x:c>
      <x:c r="F12" s="3" t="n">
        <x:f>-F10*F26</x:f>
        <x:v>-175154.4</x:v>
      </x:c>
      <x:c r="G12" s="4" t="n">
        <x:f>-G10*G26</x:f>
        <x:v>-185663.66400000002</x:v>
      </x:c>
      <x:c r="H12" s="4" t="n">
        <x:f t="shared" ref="H12:K12" si="3">-H10*H26</x:f>
        <x:v>-195875.16552</x:v>
      </x:c>
      <x:c r="I12" s="4" t="n">
        <x:f t="shared" si="3">-I10*I26</x:f>
        <x:v>-206648.2996236</x:v>
      </x:c>
      <x:c r="J12" s="4" t="n">
        <x:f t="shared" si="3">-J10*J26</x:f>
        <x:v>-216980.71460478</x:v>
      </x:c>
      <x:c r="K12" s="4" t="n">
        <x:f t="shared" si="3">-K10*K26</x:f>
        <x:v>-227829.75033501902</x:v>
      </x:c>
    </x:row>
    <x:row r="13">
      <x:c r="C13" s="1" t="s">
        <x:v>6</x:v>
      </x:c>
      <x:c r="D13" s="5" t="n">
        <x:v>303000</x:v>
      </x:c>
      <x:c r="E13" s="5" t="n">
        <x:f t="shared" ref="E13:F13" si="4">E10+E11+E12</x:f>
        <x:v>310700</x:v>
      </x:c>
      <x:c r="F13" s="5" t="n">
        <x:f t="shared" si="4">SUM(F10:F12)</x:f>
        <x:v>329342</x:v>
      </x:c>
      <x:c r="G13" s="5" t="n">
        <x:f t="shared" ref="G13" si="5">SUM(G10:G12)</x:f>
        <x:v>349102.52000000014</x:v>
      </x:c>
      <x:c r="H13" s="5" t="n">
        <x:f t="shared" ref="H13" si="6">SUM(H10:H12)</x:f>
        <x:v>368303.15859999997</x:v>
      </x:c>
      <x:c r="I13" s="5" t="n">
        <x:f t="shared" ref="I13" si="7">SUM(I10:I12)</x:f>
        <x:v>388559.83232300007</x:v>
      </x:c>
      <x:c r="J13" s="5" t="n">
        <x:f t="shared" ref="J13" si="8">SUM(J10:J12)</x:f>
        <x:v>407987.8239391501</x:v>
      </x:c>
      <x:c r="K13" s="5" t="n">
        <x:f t="shared" ref="K13" si="9">SUM(K10:K12)</x:f>
        <x:v>428387.2151361076</x:v>
      </x:c>
    </x:row>
    <x:row r="14">
      <x:c r="D14"/>
      <x:c r="E14"/>
    </x:row>
    <x:row r="15">
      <x:c r="C15" s="1" t="s">
        <x:v>7</x:v>
      </x:c>
      <x:c r="D15" s="3" t="n">
        <x:v>0</x:v>
      </x:c>
      <x:c r="E15" s="3" t="n">
        <x:v>0</x:v>
      </x:c>
      <x:c r="F15" s="3" t="n">
        <x:f>F37*E42</x:f>
        <x:v>7000</x:v>
      </x:c>
      <x:c r="G15" s="10" t="n">
        <x:f>G37*F42</x:f>
        <x:v>11754.186640000002</x:v>
      </x:c>
      <x:c r="H15" s="10" t="n">
        <x:f t="shared" ref="H15:K15" si="10">H37*G42</x:f>
        <x:v>17091.352661968005</x:v>
      </x:c>
      <x:c r="I15" s="10" t="n">
        <x:f t="shared" si="10">I37*H42</x:f>
        <x:v>22809.913451203887</x:v>
      </x:c>
      <x:c r="J15" s="10" t="n">
        <x:f t="shared" si="10">J37*I42</x:f>
        <x:v>28923.303123411548</x:v>
      </x:c>
      <x:c r="K15" s="10" t="n">
        <x:f t="shared" si="10">K37*J42</x:f>
        <x:v>35435.58209021932</x:v>
      </x:c>
    </x:row>
    <x:row r="16">
      <x:c r="C16" s="1" t="s">
        <x:v>8</x:v>
      </x:c>
      <x:c r="D16" s="3" t="n">
        <x:v>0</x:v>
      </x:c>
      <x:c r="E16" s="3" t="n">
        <x:v>0</x:v>
      </x:c>
      <x:c r="F16" s="3" t="n">
        <x:f>-F38*E60</x:f>
        <x:v>-3250</x:v>
      </x:c>
      <x:c r="G16" s="10" t="n">
        <x:f>-G38*F60</x:f>
        <x:v>-3250</x:v>
      </x:c>
      <x:c r="H16" s="10" t="n">
        <x:f t="shared" ref="H16:K16" si="11">-H38*G60</x:f>
        <x:v>-3250</x:v>
      </x:c>
      <x:c r="I16" s="10" t="n">
        <x:f t="shared" si="11">-I38*H60</x:f>
        <x:v>-3250</x:v>
      </x:c>
      <x:c r="J16" s="10" t="n">
        <x:f t="shared" si="11">-J38*I60</x:f>
        <x:v>-3250</x:v>
      </x:c>
      <x:c r="K16" s="10" t="n">
        <x:f t="shared" si="11">-K38*J60</x:f>
        <x:v>-3250</x:v>
      </x:c>
    </x:row>
    <x:row r="17">
      <x:c r="C17" s="1" t="s">
        <x:v>9</x:v>
      </x:c>
      <x:c r="D17" s="5" t="n">
        <x:v>303000</x:v>
      </x:c>
      <x:c r="E17" s="5" t="n">
        <x:f t="shared" ref="E17:F17" si="12">E13+SUM(E15,E16)</x:f>
        <x:v>310700</x:v>
      </x:c>
      <x:c r="F17" s="5" t="n">
        <x:f t="shared" si="12">SUM(F13,F15:F16)</x:f>
        <x:v>333092</x:v>
      </x:c>
      <x:c r="G17" s="5" t="n">
        <x:f t="shared" ref="G17" si="13">SUM(G13,G15:G16)</x:f>
        <x:v>357606.70664000016</x:v>
      </x:c>
      <x:c r="H17" s="5" t="n">
        <x:f t="shared" ref="H17" si="14">SUM(H13,H15:H16)</x:f>
        <x:v>382144.51126196794</x:v>
      </x:c>
      <x:c r="I17" s="5" t="n">
        <x:f t="shared" ref="I17" si="15">SUM(I13,I15:I16)</x:f>
        <x:v>408119.74577420397</x:v>
      </x:c>
      <x:c r="J17" s="5" t="n">
        <x:f t="shared" ref="J17" si="16">SUM(J13,J15:J16)</x:f>
        <x:v>433661.12706256163</x:v>
      </x:c>
      <x:c r="K17" s="5" t="n">
        <x:f t="shared" ref="K17" si="17">SUM(K13,K15:K16)</x:f>
        <x:v>460572.7972263269</x:v>
      </x:c>
    </x:row>
    <x:row r="18">
      <x:c r="D18"/>
      <x:c r="E18"/>
    </x:row>
    <x:row r="19">
      <x:c r="C19" s="1" t="s">
        <x:v>10</x:v>
      </x:c>
      <x:c r="D19" s="3" t="n">
        <x:v>0</x:v>
      </x:c>
      <x:c r="E19" s="3" t="n">
        <x:v>0</x:v>
      </x:c>
      <x:c r="F19" s="3" t="n">
        <x:f>-MAX(0,F17*F27)</x:f>
        <x:v>-63287.48</x:v>
      </x:c>
      <x:c r="G19" s="4" t="n">
        <x:f>-MAX(0,G17*G27)</x:f>
        <x:v>-67945.27426160003</x:v>
      </x:c>
      <x:c r="H19" s="4" t="n">
        <x:f t="shared" ref="H19:K19" si="18">-MAX(0,H17*H27)</x:f>
        <x:v>-72607.4571397739</x:v>
      </x:c>
      <x:c r="I19" s="4" t="n">
        <x:f t="shared" si="18">-MAX(0,I17*I27)</x:f>
        <x:v>-77542.75169709875</x:v>
      </x:c>
      <x:c r="J19" s="4" t="n">
        <x:f t="shared" si="18">-MAX(0,J17*J27)</x:f>
        <x:v>-82395.6141418867</x:v>
      </x:c>
      <x:c r="K19" s="4" t="n">
        <x:f t="shared" si="18">-MAX(0,K17*K27)</x:f>
        <x:v>-87508.83147300211</x:v>
      </x:c>
    </x:row>
    <x:row r="20">
      <x:c r="C20" s="1" t="s">
        <x:v>11</x:v>
      </x:c>
      <x:c r="D20" s="5" t="n">
        <x:v>303000</x:v>
      </x:c>
      <x:c r="E20" s="5" t="n">
        <x:f t="shared" ref="E20:F20" si="19">E17+E19</x:f>
        <x:v>310700</x:v>
      </x:c>
      <x:c r="F20" s="5" t="n">
        <x:f t="shared" si="19">SUM(F17,F19)</x:f>
        <x:v>269804.52</x:v>
      </x:c>
      <x:c r="G20" s="5" t="n">
        <x:f t="shared" ref="G20" si="20">SUM(G17,G19)</x:f>
        <x:v>289661.4323784001</x:v>
      </x:c>
      <x:c r="H20" s="5" t="n">
        <x:f t="shared" ref="H20" si="21">SUM(H17,H19)</x:f>
        <x:v>309537.05412219407</x:v>
      </x:c>
      <x:c r="I20" s="5" t="n">
        <x:f t="shared" ref="I20" si="22">SUM(I17,I19)</x:f>
        <x:v>330576.9940771052</x:v>
      </x:c>
      <x:c r="J20" s="5" t="n">
        <x:f t="shared" ref="J20" si="23">SUM(J17,J19)</x:f>
        <x:v>351265.5129206749</x:v>
      </x:c>
      <x:c r="K20" s="5" t="n">
        <x:f t="shared" ref="K20" si="24">SUM(K17,K19)</x:f>
        <x:v>373063.9657533248</x:v>
      </x:c>
    </x:row>
    <x:row r="23" ht="16.5">
      <x:c r="C23" s="6" t="str">
        <x:v>Margins/Growth Rates</x:v>
      </x:c>
    </x:row>
    <x:row r="24">
      <x:c r="C24" s="1" t="str">
        <x:v>Revenue Growth Rate</x:v>
      </x:c>
      <x:c r="D24"/>
      <x:c r="E24" s="7" t="n">
        <x:v>0.018321513002364176</x:v>
      </x:c>
      <x:c r="F24" s="7" t="n">
        <x:v>0.06</x:v>
      </x:c>
      <x:c r="G24" s="8" t="n">
        <x:v>0.06</x:v>
      </x:c>
      <x:c r="H24" s="8" t="n">
        <x:v>0.055</x:v>
      </x:c>
      <x:c r="I24" s="8" t="n">
        <x:f t="shared" ref="I24:K24" si="25">H24</x:f>
        <x:v>0.055</x:v>
      </x:c>
      <x:c r="J24" s="8" t="n">
        <x:f t="shared" si="25"/>
        <x:v>0.05</x:v>
      </x:c>
      <x:c r="K24" s="8" t="n">
        <x:f t="shared" si="25"/>
        <x:v>0.05</x:v>
      </x:c>
    </x:row>
    <x:row r="25">
      <x:c r="C25" s="1" t="str">
        <x:v>Gross Profit Margin</x:v>
      </x:c>
      <x:c r="D25" s="7" t="n">
        <x:v>0.550709219858156</x:v>
      </x:c>
      <x:c r="E25" s="7" t="n">
        <x:f t="shared" ref="E25:F25" si="26">1+(E11/E10)</x:f>
        <x:v>0.5524550203134069</x:v>
      </x:c>
      <x:c r="F25" s="7" t="n">
        <x:f t="shared" si="26"/>
        <x:v>0.5524550203134069</x:v>
      </x:c>
      <x:c r="G25" s="8" t="n">
        <x:v>0.5524550203134069</x:v>
      </x:c>
      <x:c r="H25" s="8" t="n">
        <x:v>0.5524550203134069</x:v>
      </x:c>
      <x:c r="I25" s="8" t="n">
        <x:f t="shared" ref="I25:K25" si="27">H25</x:f>
        <x:v>0.5524550203134069</x:v>
      </x:c>
      <x:c r="J25" s="8" t="n">
        <x:f t="shared" si="27"/>
        <x:v>0.5524550203134069</x:v>
      </x:c>
      <x:c r="K25" s="8" t="n">
        <x:f t="shared" si="27"/>
        <x:v>0.5524550203134069</x:v>
      </x:c>
    </x:row>
    <x:row r="26">
      <x:c r="C26" s="1" t="str">
        <x:v>Operating Expenses as % of revenue</x:v>
      </x:c>
      <x:c r="D26" s="7" t="n">
        <x:v>0.1925531914893617</x:v>
      </x:c>
      <x:c r="E26" s="7" t="n">
        <x:f t="shared" ref="E26:F26" si="28">-E12/E10</x:f>
        <x:v>0.1918049912942542</x:v>
      </x:c>
      <x:c r="F26" s="7" t="n">
        <x:f t="shared" si="28"/>
        <x:v>0.1918049912942542</x:v>
      </x:c>
      <x:c r="G26" s="8" t="n">
        <x:v>0.1918049912942542</x:v>
      </x:c>
      <x:c r="H26" s="8" t="n">
        <x:v>0.1918049912942542</x:v>
      </x:c>
      <x:c r="I26" s="8" t="n">
        <x:f t="shared" ref="I26:K26" si="29">H26</x:f>
        <x:v>0.1918049912942542</x:v>
      </x:c>
      <x:c r="J26" s="8" t="n">
        <x:f t="shared" si="29"/>
        <x:v>0.1918049912942542</x:v>
      </x:c>
      <x:c r="K26" s="8" t="n">
        <x:f t="shared" si="29"/>
        <x:v>0.1918049912942542</x:v>
      </x:c>
    </x:row>
    <x:row r="27">
      <x:c r="C27" s="1" t="str">
        <x:v>Tax Rate</x:v>
      </x:c>
      <x:c r="D27" s="7" t="n">
        <x:v>0</x:v>
      </x:c>
      <x:c r="E27" s="7" t="n">
        <x:f t="shared" ref="E27:F27" si="30">-E19/E17</x:f>
        <x:v>0</x:v>
      </x:c>
      <x:c r="F27" s="7" t="n">
        <x:f t="shared" si="30"/>
        <x:v>0.19</x:v>
      </x:c>
      <x:c r="G27" s="8" t="n">
        <x:v>0.19</x:v>
      </x:c>
      <x:c r="H27" s="8" t="n">
        <x:v>0.19</x:v>
      </x:c>
      <x:c r="I27" s="8" t="n">
        <x:f t="shared" ref="I27:K27" si="31">H27</x:f>
        <x:v>0.19</x:v>
      </x:c>
      <x:c r="J27" s="8" t="n">
        <x:f t="shared" si="31"/>
        <x:v>0.19</x:v>
      </x:c>
      <x:c r="K27" s="8" t="n">
        <x:f t="shared" si="31"/>
        <x:v>0.19</x:v>
      </x:c>
    </x:row>
    <x:row r="28">
      <x:c r="D28" s="7"/>
      <x:c r="E28" s="7"/>
      <x:c r="F28" s="7"/>
      <x:c r="G28" s="8"/>
      <x:c r="H28" s="8"/>
      <x:c r="I28" s="8"/>
      <x:c r="J28" s="8"/>
      <x:c r="K28" s="8"/>
    </x:row>
    <x:row r="29">
      <x:c r="C29" s="11" t="str">
        <x:v>Memo: COGS growth rate</x:v>
      </x:c>
      <x:c r="D29" s="9">
        <x:f t="shared" ref="D29" si="32">(D11-C11)/C11</x:f>
      </x:c>
      <x:c r="E29" s="9" t="n">
        <x:v>0.01436464088397793</x:v>
      </x:c>
      <x:c r="F29" s="9" t="n">
        <x:f t="shared" ref="F29:K29" si="33">-F11/-E11-1</x:f>
        <x:v>0.05999999999999983</x:v>
      </x:c>
      <x:c r="G29" s="9" t="n">
        <x:f t="shared" si="33">-G11/-F11-1</x:f>
        <x:v>0.06000000000000005</x:v>
      </x:c>
      <x:c r="H29" s="9" t="n">
        <x:f t="shared" si="33">-H11/-G11-1</x:f>
        <x:v>0.05499999999999994</x:v>
      </x:c>
      <x:c r="I29" s="9" t="n">
        <x:f t="shared" si="33">-I11/-H11-1</x:f>
        <x:v>0.05499999999999994</x:v>
      </x:c>
      <x:c r="J29" s="9" t="n">
        <x:f t="shared" si="33">-J11/-I11-1</x:f>
        <x:v>0.050000000000000044</x:v>
      </x:c>
      <x:c r="K29" s="9" t="n">
        <x:f t="shared" si="33">-K11/-J11-1</x:f>
        <x:v>0.050000000000000044</x:v>
      </x:c>
    </x:row>
    <x:row r="30">
      <x:c r="C30" s="11"/>
      <x:c r="D30" s="9"/>
      <x:c r="E30" s="9"/>
      <x:c r="F30" s="9"/>
      <x:c r="G30" s="9"/>
      <x:c r="H30" s="9"/>
      <x:c r="I30" s="9"/>
      <x:c r="J30" s="9"/>
      <x:c r="K30" s="9"/>
    </x:row>
    <x:row r="31">
      <x:c r="C31" s="11" t="str">
        <x:v>Memo: Depreciation in Opex and COGS</x:v>
      </x:c>
      <x:c r="D31" s="3" t="n">
        <x:v>-18000</x:v>
      </x:c>
      <x:c r="E31" s="3" t="n">
        <x:v>-20000</x:v>
      </x:c>
      <x:c r="F31" s="3" t="n">
        <x:f>-F10*0.025</x:f>
        <x:v>-22829.75</x:v>
      </x:c>
      <x:c r="G31" s="4" t="n">
        <x:f>-G10*0.025</x:f>
        <x:v>-24199.535000000003</x:v>
      </x:c>
      <x:c r="H31" s="4" t="n">
        <x:f t="shared" ref="H31:K31" si="34">-H10*0.025</x:f>
        <x:v>-25530.509425</x:v>
      </x:c>
      <x:c r="I31" s="4" t="n">
        <x:f t="shared" si="34">-I10*0.025</x:f>
        <x:v>-26934.687443375</x:v>
      </x:c>
      <x:c r="J31" s="4" t="n">
        <x:f t="shared" si="34">-J10*0.025</x:f>
        <x:v>-28281.421815543752</x:v>
      </x:c>
      <x:c r="K31" s="4" t="n">
        <x:f t="shared" si="34">-K10*0.025</x:f>
        <x:v>-29695.492906320942</x:v>
      </x:c>
    </x:row>
    <x:row r="32">
      <x:c r="C32" s="11" t="str">
        <x:v>Memo: Capital Expenditures</x:v>
      </x:c>
      <x:c r="D32" s="3" t="n">
        <x:v>-30000</x:v>
      </x:c>
      <x:c r="E32" s="3" t="n">
        <x:v>-32000</x:v>
      </x:c>
      <x:c r="F32" s="3" t="n">
        <x:f>-F10*0.04</x:f>
        <x:v>-36527.6</x:v>
      </x:c>
      <x:c r="G32" s="4" t="n">
        <x:f>-G10*0.04</x:f>
        <x:v>-38719.256</x:v>
      </x:c>
      <x:c r="H32" s="4" t="n">
        <x:f t="shared" ref="H32:K32" si="35">-H10*0.04</x:f>
        <x:v>-40848.81508</x:v>
      </x:c>
      <x:c r="I32" s="4" t="n">
        <x:f t="shared" si="35">-I10*0.04</x:f>
        <x:v>-43095.4999094</x:v>
      </x:c>
      <x:c r="J32" s="4" t="n">
        <x:f t="shared" si="35">-J10*0.04</x:f>
        <x:v>-45250.27490487</x:v>
      </x:c>
      <x:c r="K32" s="4" t="n">
        <x:f t="shared" si="35">-K10*0.04</x:f>
        <x:v>-47512.7886501135</x:v>
      </x:c>
    </x:row>
    <x:row r="33">
      <x:c r="C33" s="11"/>
      <x:c r="D33" s="3"/>
      <x:c r="E33" s="3"/>
      <x:c r="F33" s="3"/>
      <x:c r="G33" s="4"/>
      <x:c r="H33" s="4"/>
      <x:c r="I33" s="4"/>
      <x:c r="J33" s="4"/>
      <x:c r="K33" s="4"/>
    </x:row>
    <x:row r="34">
      <x:c r="C34" s="11" t="str">
        <x:v>Memo: Amortization in Opex and COGS</x:v>
      </x:c>
      <x:c r="D34" s="3" t="n">
        <x:v>-3000</x:v>
      </x:c>
      <x:c r="E34" s="3" t="n">
        <x:v>-3500</x:v>
      </x:c>
      <x:c r="F34" s="3" t="n">
        <x:f>-F10*0.005</x:f>
        <x:v>-4565.95</x:v>
      </x:c>
      <x:c r="G34" s="4" t="n">
        <x:f>-G10*0.005</x:f>
        <x:v>-4839.907</x:v>
      </x:c>
      <x:c r="H34" s="4" t="n">
        <x:f>-H10*0.005</x:f>
        <x:v>-5106.101885</x:v>
      </x:c>
      <x:c r="I34" s="4" t="n">
        <x:f>-I10*0.005</x:f>
        <x:v>-5386.937488675</x:v>
      </x:c>
      <x:c r="J34" s="4" t="n">
        <x:f>-J10*0.005</x:f>
        <x:v>-5656.28436310875</x:v>
      </x:c>
      <x:c r="K34" s="4" t="n">
        <x:f>-K10*0.005</x:f>
        <x:v>-5939.0985812641875</x:v>
      </x:c>
    </x:row>
    <x:row r="35">
      <x:c r="C35" s="11" t="str">
        <x:v>Memo: Purchases of Intangibles</x:v>
      </x:c>
      <x:c r="D35" s="3" t="n">
        <x:v>-5000</x:v>
      </x:c>
      <x:c r="E35" s="3" t="n">
        <x:v>-6000</x:v>
      </x:c>
      <x:c r="F35" s="3" t="n">
        <x:f>-F10*0.008</x:f>
        <x:v>-7305.52</x:v>
      </x:c>
      <x:c r="G35" s="4" t="n">
        <x:f>-G10*0.008</x:f>
        <x:v>-7743.8512</x:v>
      </x:c>
      <x:c r="H35" s="4" t="n">
        <x:f t="shared" ref="H35:J35" si="36">-H10*0.008</x:f>
        <x:v>-8169.763016</x:v>
      </x:c>
      <x:c r="I35" s="4" t="n">
        <x:f t="shared" si="36">-I10*0.008</x:f>
        <x:v>-8619.09998188</x:v>
      </x:c>
      <x:c r="J35" s="4" t="n">
        <x:f t="shared" si="36">-J10*0.008</x:f>
        <x:v>-9050.054980974</x:v>
      </x:c>
      <x:c r="K35" s="4" t="n">
        <x:f>-K10*0.008</x:f>
        <x:v>-9502.557730022701</x:v>
      </x:c>
    </x:row>
    <x:row r="36">
      <x:c r="C36" s="11"/>
      <x:c r="D36" s="3"/>
      <x:c r="E36" s="3"/>
      <x:c r="F36" s="3"/>
      <x:c r="G36" s="4"/>
      <x:c r="H36" s="4"/>
      <x:c r="I36" s="4"/>
      <x:c r="J36" s="4"/>
      <x:c r="K36" s="4"/>
    </x:row>
    <x:row r="37">
      <x:c r="C37" s="11" t="str">
        <x:v>Memo: % Interest Earned on Cash</x:v>
      </x:c>
      <x:c r="D37" s="3" t="n">
        <x:v>0</x:v>
      </x:c>
      <x:c r="E37" s="3" t="n">
        <x:v>0.02</x:v>
      </x:c>
      <x:c r="F37" s="3" t="n">
        <x:v>0.02</x:v>
      </x:c>
      <x:c r="G37" s="22" t="n">
        <x:v>0.02</x:v>
      </x:c>
      <x:c r="H37" s="22" t="n">
        <x:v>0.02</x:v>
      </x:c>
      <x:c r="I37" s="22" t="n">
        <x:v>0.02</x:v>
      </x:c>
      <x:c r="J37" s="22" t="n">
        <x:v>0.02</x:v>
      </x:c>
      <x:c r="K37" s="22" t="n">
        <x:v>0.02</x:v>
      </x:c>
    </x:row>
    <x:row r="38">
      <x:c r="C38" s="11" t="str">
        <x:v>Memo: % Interest Rate on Debt</x:v>
      </x:c>
      <x:c r="D38" s="9" t="n">
        <x:v>0</x:v>
      </x:c>
      <x:c r="E38" s="9" t="n">
        <x:v>0.05</x:v>
      </x:c>
      <x:c r="F38" s="9" t="n">
        <x:v>0.05</x:v>
      </x:c>
      <x:c r="G38" s="22" t="n">
        <x:v>0.05</x:v>
      </x:c>
      <x:c r="H38" s="22" t="n">
        <x:v>0.05</x:v>
      </x:c>
      <x:c r="I38" s="22" t="n">
        <x:v>0.05</x:v>
      </x:c>
      <x:c r="J38" s="22" t="n">
        <x:v>0.05</x:v>
      </x:c>
      <x:c r="K38" s="22" t="n">
        <x:v>0.05</x:v>
      </x:c>
    </x:row>
    <x:row r="39">
      <x:c r="D39" s="9"/>
      <x:c r="E39" s="9"/>
      <x:c r="F39" s="9"/>
      <x:c r="G39" s="9"/>
      <x:c r="H39" s="9"/>
      <x:c r="I39" s="9"/>
      <x:c r="J39" s="9"/>
      <x:c r="K39" s="9"/>
    </x:row>
    <x:row r="41" ht="27">
      <x:c r="B41" s="1" t="s">
        <x:v>1</x:v>
      </x:c>
      <x:c r="C41" s="25" t="s">
        <x:v>12</x:v>
      </x:c>
    </x:row>
    <x:row r="42">
      <x:c r="C42" s="1" t="s">
        <x:v>13</x:v>
      </x:c>
      <x:c r="D42" s="3" t="n">
        <x:v>343000</x:v>
      </x:c>
      <x:c r="E42" s="3" t="n">
        <x:v>350000</x:v>
      </x:c>
      <x:c r="F42" s="3" t="n">
        <x:f>F121</x:f>
        <x:v>587709.332</x:v>
      </x:c>
      <x:c r="G42" s="4" t="n">
        <x:f>G121</x:f>
        <x:v>854567.6330984002</x:v>
      </x:c>
      <x:c r="H42" s="4" t="n">
        <x:f>H121</x:f>
        <x:v>1140495.6725601943</x:v>
      </x:c>
      <x:c r="I42" s="4" t="n">
        <x:f>I121</x:f>
        <x:v>1446165.1561705773</x:v>
      </x:c>
      <x:c r="J42" s="4" t="n">
        <x:f t="shared" ref="J42:K42" si="37">J121</x:f>
        <x:v>1771779.1045109662</x:v>
      </x:c>
      <x:c r="K42" s="4" t="n">
        <x:f t="shared" si="37">K121</x:f>
        <x:v>2117908.9274549903</x:v>
      </x:c>
    </x:row>
    <x:row r="43">
      <x:c r="C43" s="1" t="s">
        <x:v>14</x:v>
      </x:c>
      <x:c r="D43" s="3" t="n">
        <x:v>65000</x:v>
      </x:c>
      <x:c r="E43" s="3" t="n">
        <x:v>68000</x:v>
      </x:c>
      <x:c r="F43" s="3" t="n">
        <x:f>F10*0.08</x:f>
        <x:v>73055.2</x:v>
      </x:c>
      <x:c r="G43" s="4" t="n">
        <x:f>G10*0.08</x:f>
        <x:v>77438.512</x:v>
      </x:c>
      <x:c r="H43" s="4" t="n">
        <x:f t="shared" ref="H43:K43" si="38">H10*0.08</x:f>
        <x:v>81697.63016</x:v>
      </x:c>
      <x:c r="I43" s="4" t="n">
        <x:f t="shared" si="38">I10*0.08</x:f>
        <x:v>86190.9998188</x:v>
      </x:c>
      <x:c r="J43" s="4" t="n">
        <x:f t="shared" si="38">J10*0.08</x:f>
        <x:v>90500.54980974</x:v>
      </x:c>
      <x:c r="K43" s="4" t="n">
        <x:f t="shared" si="38">K10*0.08</x:f>
        <x:v>95025.577300227</x:v>
      </x:c>
    </x:row>
    <x:row r="44">
      <x:c r="C44" s="1" t="s">
        <x:v>15</x:v>
      </x:c>
      <x:c r="D44" s="3" t="n">
        <x:v>90000</x:v>
      </x:c>
      <x:c r="E44" s="3" t="n">
        <x:v>95000</x:v>
      </x:c>
      <x:c r="F44" s="3" t="n">
        <x:f>-F11*0.25</x:f>
        <x:v>102173.4</x:v>
      </x:c>
      <x:c r="G44" s="4" t="n">
        <x:f>-G11*0.25</x:f>
        <x:v>108303.80399999999</x:v>
      </x:c>
      <x:c r="H44" s="4" t="n">
        <x:f t="shared" ref="H44:K44" si="39">-H11*0.25</x:f>
        <x:v>114260.51322</x:v>
      </x:c>
      <x:c r="I44" s="4" t="n">
        <x:f t="shared" si="39">-I11*0.25</x:f>
        <x:v>120544.84144709999</x:v>
      </x:c>
      <x:c r="J44" s="4" t="n">
        <x:f t="shared" si="39">-J11*0.25</x:f>
        <x:v>126572.08351945499</x:v>
      </x:c>
      <x:c r="K44" s="4" t="n">
        <x:f t="shared" si="39">-K11*0.25</x:f>
        <x:v>132900.68769542774</x:v>
      </x:c>
    </x:row>
    <x:row r="45">
      <x:c r="C45" s="1" t="s">
        <x:v>16</x:v>
      </x:c>
      <x:c r="D45" s="3" t="n">
        <x:v>12000</x:v>
      </x:c>
      <x:c r="E45" s="3" t="n">
        <x:v>13000</x:v>
      </x:c>
      <x:c r="F45" s="3" t="n">
        <x:f>F10*0.015</x:f>
        <x:v>13697.85</x:v>
      </x:c>
      <x:c r="G45" s="4" t="n">
        <x:f>G10*0.015</x:f>
        <x:v>14519.721</x:v>
      </x:c>
      <x:c r="H45" s="4" t="n">
        <x:f t="shared" ref="H45:K45" si="40">H10*0.015</x:f>
        <x:v>15318.305654999998</x:v>
      </x:c>
      <x:c r="I45" s="4" t="n">
        <x:f t="shared" si="40">I10*0.015</x:f>
        <x:v>16160.812466025</x:v>
      </x:c>
      <x:c r="J45" s="4" t="n">
        <x:f t="shared" si="40">J10*0.015</x:f>
        <x:v>16968.85308932625</x:v>
      </x:c>
      <x:c r="K45" s="4" t="n">
        <x:f t="shared" si="40">K10*0.015</x:f>
        <x:v>17817.29574379256</x:v>
      </x:c>
    </x:row>
    <x:row r="46">
      <x:c r="C46" s="14" t="s">
        <x:v>17</x:v>
      </x:c>
      <x:c r="D46" s="15" t="n">
        <x:v>510000</x:v>
      </x:c>
      <x:c r="E46" s="15" t="n">
        <x:f t="shared" ref="E46:K46" si="41">SUM(E42:E45)</x:f>
        <x:v>526000</x:v>
      </x:c>
      <x:c r="F46" s="15" t="n">
        <x:f t="shared" si="41">SUM(F42:F45)</x:f>
        <x:v>776635.782</x:v>
      </x:c>
      <x:c r="G46" s="15" t="n">
        <x:f>SUM(G42:G45)</x:f>
        <x:v>1054829.6700984002</x:v>
      </x:c>
      <x:c r="H46" s="15" t="n">
        <x:f t="shared" si="41">SUM(H42:H45)</x:f>
        <x:v>1351772.1215951943</x:v>
      </x:c>
      <x:c r="I46" s="15" t="n">
        <x:f t="shared" si="41">SUM(I42:I45)</x:f>
        <x:v>1669061.8099025022</x:v>
      </x:c>
      <x:c r="J46" s="15" t="n">
        <x:f t="shared" si="41">SUM(J42:J45)</x:f>
        <x:v>2005820.5909294875</x:v>
      </x:c>
      <x:c r="K46" s="15" t="n">
        <x:f t="shared" si="41">SUM(K42:K45)</x:f>
        <x:v>2363652.4881944377</x:v>
      </x:c>
    </x:row>
    <x:row r="47">
      <x:c r="D47"/>
      <x:c r="E47"/>
    </x:row>
    <x:row r="48">
      <x:c r="C48" s="1" t="s">
        <x:v>18</x:v>
      </x:c>
      <x:c r="D48" s="3" t="n">
        <x:v>120000</x:v>
      </x:c>
      <x:c r="E48" s="3" t="n">
        <x:v>128000</x:v>
      </x:c>
      <x:c r="F48" s="3" t="n">
        <x:f>E48-F32+F31</x:f>
        <x:v>141697.85</x:v>
      </x:c>
      <x:c r="G48" s="4" t="n">
        <x:f>F48-G32+G31</x:f>
        <x:v>156217.571</x:v>
      </x:c>
      <x:c r="H48" s="4" t="n">
        <x:f>G48-H32+H31</x:f>
        <x:v>171535.876655</x:v>
      </x:c>
      <x:c r="I48" s="4" t="n">
        <x:f>H48-I32+I31</x:f>
        <x:v>187696.689121025</x:v>
      </x:c>
      <x:c r="J48" s="4" t="n">
        <x:f>I48-J32+J31</x:f>
        <x:v>204665.54221035124</x:v>
      </x:c>
      <x:c r="K48" s="4" t="n">
        <x:f>J48-K32+K31</x:f>
        <x:v>222482.83795414382</x:v>
      </x:c>
    </x:row>
    <x:row r="49">
      <x:c r="C49" s="1" t="s">
        <x:v>19</x:v>
      </x:c>
      <x:c r="D49" s="3" t="n">
        <x:v>15000</x:v>
      </x:c>
      <x:c r="E49" s="3" t="n">
        <x:v>17500</x:v>
      </x:c>
      <x:c r="F49" s="3" t="n">
        <x:f>E49-F35+F34</x:f>
        <x:v>20239.57</x:v>
      </x:c>
      <x:c r="G49" s="4" t="n">
        <x:f>F49-G35+G34</x:f>
        <x:v>23143.5142</x:v>
      </x:c>
      <x:c r="H49" s="4" t="n">
        <x:f>G49-H35+H34</x:f>
        <x:v>26207.175331000002</x:v>
      </x:c>
      <x:c r="I49" s="4" t="n">
        <x:f t="shared" ref="I49:K49" si="42">H49-I35+I34</x:f>
        <x:v>29439.337824205002</x:v>
      </x:c>
      <x:c r="J49" s="4" t="n">
        <x:f t="shared" si="42">I49-J35+J34</x:f>
        <x:v>32833.10844207025</x:v>
      </x:c>
      <x:c r="K49" s="4" t="n">
        <x:f t="shared" si="42">J49-K35+K34</x:f>
        <x:v>36396.56759082876</x:v>
      </x:c>
    </x:row>
    <x:row r="50">
      <x:c r="C50" s="14" t="s">
        <x:v>20</x:v>
      </x:c>
      <x:c r="D50" s="15" t="n">
        <x:v>135000</x:v>
      </x:c>
      <x:c r="E50" s="15" t="n">
        <x:f t="shared" ref="E50:K50" si="43">SUM(E48:E49)</x:f>
        <x:v>145500</x:v>
      </x:c>
      <x:c r="F50" s="15" t="n">
        <x:f t="shared" si="43">SUM(F48:F49)</x:f>
        <x:v>161937.42</x:v>
      </x:c>
      <x:c r="G50" s="15" t="n">
        <x:f t="shared" si="43">SUM(G48:G49)</x:f>
        <x:v>179361.0852</x:v>
      </x:c>
      <x:c r="H50" s="15" t="n">
        <x:f>SUM(H48:H49)</x:f>
        <x:v>197743.051986</x:v>
      </x:c>
      <x:c r="I50" s="15" t="n">
        <x:f t="shared" si="43">SUM(I48:I49)</x:f>
        <x:v>217136.02694523</x:v>
      </x:c>
      <x:c r="J50" s="15" t="n">
        <x:f t="shared" si="43">SUM(J48:J49)</x:f>
        <x:v>237498.6506524215</x:v>
      </x:c>
      <x:c r="K50" s="15" t="n">
        <x:f t="shared" si="43">SUM(K48:K49)</x:f>
        <x:v>258879.40554497257</x:v>
      </x:c>
    </x:row>
    <x:row r="51">
      <x:c r="D51"/>
      <x:c r="E51"/>
    </x:row>
    <x:row r="52" ht="16.5">
      <x:c r="C52" s="6" t="s">
        <x:v>21</x:v>
      </x:c>
      <x:c r="D52" s="16" t="n">
        <x:v>645000</x:v>
      </x:c>
      <x:c r="E52" s="16" t="n">
        <x:f t="shared" ref="E52:K52" si="44">E50+E46</x:f>
        <x:v>671500</x:v>
      </x:c>
      <x:c r="F52" s="16" t="n">
        <x:f t="shared" si="44">SUM(F46,F50)</x:f>
        <x:v>938573.202</x:v>
      </x:c>
      <x:c r="G52" s="16" t="n">
        <x:f t="shared" si="44">SUM(G46,G50)</x:f>
        <x:v>1234190.7552984003</x:v>
      </x:c>
      <x:c r="H52" s="16" t="n">
        <x:f t="shared" si="44">SUM(H46,H50)</x:f>
        <x:v>1549515.1735811944</x:v>
      </x:c>
      <x:c r="I52" s="16" t="n">
        <x:f t="shared" si="44">SUM(I46,I50)</x:f>
        <x:v>1886197.8368477323</x:v>
      </x:c>
      <x:c r="J52" s="16" t="n">
        <x:f t="shared" si="44">SUM(J46,J50)</x:f>
        <x:v>2243319.241581909</x:v>
      </x:c>
      <x:c r="K52" s="16" t="n">
        <x:f t="shared" si="44">SUM(K46,K50)</x:f>
        <x:v>2622531.89373941</x:v>
      </x:c>
    </x:row>
    <x:row r="53">
      <x:c r="D53"/>
      <x:c r="E53"/>
    </x:row>
    <x:row r="54">
      <x:c r="C54" s="1" t="s">
        <x:v>22</x:v>
      </x:c>
      <x:c r="D54" s="12" t="n">
        <x:v>52000</x:v>
      </x:c>
      <x:c r="E54" s="12" t="n">
        <x:v>55000</x:v>
      </x:c>
      <x:c r="F54" s="12" t="n">
        <x:f>-F11*0.12</x:f>
        <x:v>49043.231999999996</x:v>
      </x:c>
      <x:c r="G54" s="13" t="n">
        <x:f>-G11*0.12</x:f>
        <x:v>51985.825919999996</x:v>
      </x:c>
      <x:c r="H54" s="13" t="n">
        <x:f t="shared" ref="H54:K54" si="45">-H11*0.12</x:f>
        <x:v>54845.04634559999</x:v>
      </x:c>
      <x:c r="I54" s="13" t="n">
        <x:f t="shared" si="45">-I11*0.12</x:f>
        <x:v>57861.52389460799</x:v>
      </x:c>
      <x:c r="J54" s="13" t="n">
        <x:f t="shared" si="45">-J11*0.12</x:f>
        <x:v>60754.60008933839</x:v>
      </x:c>
      <x:c r="K54" s="13" t="n">
        <x:f t="shared" si="45">-K11*0.12</x:f>
        <x:v>63792.330093805314</x:v>
      </x:c>
    </x:row>
    <x:row r="55">
      <x:c r="C55" s="1" t="s">
        <x:v>23</x:v>
      </x:c>
      <x:c r="D55" s="12" t="n">
        <x:v>18000</x:v>
      </x:c>
      <x:c r="E55" s="12" t="n">
        <x:v>20000</x:v>
      </x:c>
      <x:c r="F55" s="12" t="n">
        <x:f>F10*0.025</x:f>
        <x:v>22829.75</x:v>
      </x:c>
      <x:c r="G55" s="13" t="n">
        <x:f>G10*0.025</x:f>
        <x:v>24199.535000000003</x:v>
      </x:c>
      <x:c r="H55" s="13" t="n">
        <x:f t="shared" ref="H55:K55" si="46">H10*0.025</x:f>
        <x:v>25530.509425</x:v>
      </x:c>
      <x:c r="I55" s="13" t="n">
        <x:f t="shared" si="46">I10*0.025</x:f>
        <x:v>26934.687443375</x:v>
      </x:c>
      <x:c r="J55" s="13" t="n">
        <x:f t="shared" si="46">J10*0.025</x:f>
        <x:v>28281.421815543752</x:v>
      </x:c>
      <x:c r="K55" s="13" t="n">
        <x:f t="shared" si="46">K10*0.025</x:f>
        <x:v>29695.492906320942</x:v>
      </x:c>
    </x:row>
    <x:row r="56">
      <x:c r="C56" s="1" t="s">
        <x:v>24</x:v>
      </x:c>
      <x:c r="D56" s="12" t="n">
        <x:v>25000</x:v>
      </x:c>
      <x:c r="E56" s="12" t="n">
        <x:v>27000</x:v>
      </x:c>
      <x:c r="F56" s="12" t="n">
        <x:f>F10*0.03</x:f>
        <x:v>27395.7</x:v>
      </x:c>
      <x:c r="G56" s="13" t="n">
        <x:f>G10*0.03</x:f>
        <x:v>29039.442</x:v>
      </x:c>
      <x:c r="H56" s="13" t="n">
        <x:f t="shared" ref="H56:K56" si="47">H10*0.03</x:f>
        <x:v>30636.611309999997</x:v>
      </x:c>
      <x:c r="I56" s="13" t="n">
        <x:f t="shared" si="47">I10*0.03</x:f>
        <x:v>32321.62493205</x:v>
      </x:c>
      <x:c r="J56" s="13" t="n">
        <x:f t="shared" si="47">J10*0.03</x:f>
        <x:v>33937.7061786525</x:v>
      </x:c>
      <x:c r="K56" s="13" t="n">
        <x:f t="shared" si="47">K10*0.03</x:f>
        <x:v>35634.59148758512</x:v>
      </x:c>
    </x:row>
    <x:row r="57">
      <x:c r="C57" s="14" t="s">
        <x:v>25</x:v>
      </x:c>
      <x:c r="D57" s="17" t="n">
        <x:v>95000</x:v>
      </x:c>
      <x:c r="E57" s="17" t="n">
        <x:f t="shared" ref="E57:K57" si="48">SUM(E54:E56)</x:f>
        <x:v>102000</x:v>
      </x:c>
      <x:c r="F57" s="17" t="n">
        <x:f t="shared" si="48">SUM(F54:F56)</x:f>
        <x:v>99268.68199999999</x:v>
      </x:c>
      <x:c r="G57" s="17" t="n">
        <x:f t="shared" si="48">SUM(G54:G56)</x:f>
        <x:v>105224.80292</x:v>
      </x:c>
      <x:c r="H57" s="17" t="n">
        <x:f t="shared" si="48">SUM(H54:H56)</x:f>
        <x:v>111012.16708059999</x:v>
      </x:c>
      <x:c r="I57" s="17" t="n">
        <x:f t="shared" si="48">SUM(I54:I56)</x:f>
        <x:v>117117.836270033</x:v>
      </x:c>
      <x:c r="J57" s="17" t="n">
        <x:f t="shared" si="48">SUM(J54:J56)</x:f>
        <x:v>122973.72808353465</x:v>
      </x:c>
      <x:c r="K57" s="17" t="n">
        <x:f t="shared" si="48">SUM(K54:K56)</x:f>
        <x:v>129122.41448771139</x:v>
      </x:c>
    </x:row>
    <x:row r="58">
      <x:c r="D58"/>
      <x:c r="E58"/>
    </x:row>
    <x:row r="59">
      <x:c r="C59" s="1" t="s">
        <x:v>26</x:v>
      </x:c>
      <x:c r="D59" s="3" t="n">
        <x:v>0</x:v>
      </x:c>
      <x:c r="E59" s="3" t="n">
        <x:v>0</x:v>
      </x:c>
      <x:c r="F59" s="3" t="n">
        <x:v>0</x:v>
      </x:c>
      <x:c r="G59" s="4" t="n">
        <x:v>0</x:v>
      </x:c>
      <x:c r="H59" s="4" t="n">
        <x:f t="shared" ref="H59:K59" si="49">G59+H121</x:f>
        <x:v>0</x:v>
      </x:c>
      <x:c r="I59" s="4" t="n">
        <x:f t="shared" si="49"/>
        <x:v>0</x:v>
      </x:c>
      <x:c r="J59" s="4" t="n">
        <x:f t="shared" si="49"/>
        <x:v>0</x:v>
      </x:c>
      <x:c r="K59" s="4" t="n">
        <x:f t="shared" si="49"/>
        <x:v>0</x:v>
      </x:c>
    </x:row>
    <x:row r="60">
      <x:c r="C60" s="1" t="s">
        <x:v>27</x:v>
      </x:c>
      <x:c r="D60" s="3" t="n">
        <x:v>70000</x:v>
      </x:c>
      <x:c r="E60" s="3" t="n">
        <x:v>65000</x:v>
      </x:c>
      <x:c r="F60" s="3" t="n">
        <x:f>E60</x:f>
        <x:v>65000</x:v>
      </x:c>
      <x:c r="G60" s="4" t="n">
        <x:f>F60</x:f>
        <x:v>65000</x:v>
      </x:c>
      <x:c r="H60" s="4" t="n">
        <x:f t="shared" ref="H60:K60" si="50">G60</x:f>
        <x:v>65000</x:v>
      </x:c>
      <x:c r="I60" s="4" t="n">
        <x:f t="shared" si="50">H60</x:f>
        <x:v>65000</x:v>
      </x:c>
      <x:c r="J60" s="4" t="n">
        <x:f t="shared" si="50">I60</x:f>
        <x:v>65000</x:v>
      </x:c>
      <x:c r="K60" s="4" t="n">
        <x:f t="shared" si="50">J60</x:f>
        <x:v>65000</x:v>
      </x:c>
    </x:row>
    <x:row r="61">
      <x:c r="C61" s="1" t="s">
        <x:v>28</x:v>
      </x:c>
      <x:c r="D61" s="3" t="n">
        <x:v>20000</x:v>
      </x:c>
      <x:c r="E61" s="3" t="n">
        <x:v>20000</x:v>
      </x:c>
      <x:c r="F61" s="3" t="n">
        <x:f>E61</x:f>
        <x:v>20000</x:v>
      </x:c>
      <x:c r="G61" s="4" t="n">
        <x:f>F61</x:f>
        <x:v>20000</x:v>
      </x:c>
      <x:c r="H61" s="4" t="n">
        <x:f t="shared" ref="H61:K61" si="51">G61</x:f>
        <x:v>20000</x:v>
      </x:c>
      <x:c r="I61" s="4" t="n">
        <x:f t="shared" si="51">H61</x:f>
        <x:v>20000</x:v>
      </x:c>
      <x:c r="J61" s="4" t="n">
        <x:f t="shared" si="51">I61</x:f>
        <x:v>20000</x:v>
      </x:c>
      <x:c r="K61" s="4" t="n">
        <x:f t="shared" si="51">J61</x:f>
        <x:v>20000</x:v>
      </x:c>
    </x:row>
    <x:row r="62" ht="16.5">
      <x:c r="C62" s="6" t="s">
        <x:v>29</x:v>
      </x:c>
      <x:c r="D62" s="16" t="n">
        <x:v>185000</x:v>
      </x:c>
      <x:c r="E62" s="16" t="n">
        <x:f t="shared" ref="E62:F62" si="52">E61+E60+E59+E57</x:f>
        <x:v>187000</x:v>
      </x:c>
      <x:c r="F62" s="16" t="n">
        <x:f t="shared" si="52">SUM(F57,F59:F61)</x:f>
        <x:v>184268.68199999997</x:v>
      </x:c>
      <x:c r="G62" s="16" t="n">
        <x:f>SUM(G57,G59:G61)</x:f>
        <x:v>190224.80292</x:v>
      </x:c>
      <x:c r="H62" s="16" t="n">
        <x:f>SUM(H57,H59:H61)</x:f>
        <x:v>196012.1670806</x:v>
      </x:c>
      <x:c r="I62" s="16" t="n">
        <x:f>SUM(I57,I59:I61)</x:f>
        <x:v>202117.836270033</x:v>
      </x:c>
      <x:c r="J62" s="16" t="n">
        <x:f>SUM(J57,J59:J61)</x:f>
        <x:v>207973.72808353463</x:v>
      </x:c>
      <x:c r="K62" s="16" t="n">
        <x:f>SUM(K57,K59:K61)</x:f>
        <x:v>214122.4144877114</x:v>
      </x:c>
    </x:row>
    <x:row r="63">
      <x:c r="D63"/>
      <x:c r="E63"/>
    </x:row>
    <x:row r="64">
      <x:c r="C64" s="1" t="s">
        <x:v>30</x:v>
      </x:c>
      <x:c r="D64" s="3" t="n">
        <x:v>100000</x:v>
      </x:c>
      <x:c r="E64" s="3" t="n">
        <x:v>100000</x:v>
      </x:c>
      <x:c r="F64" s="3" t="n">
        <x:f>E64</x:f>
        <x:v>100000</x:v>
      </x:c>
      <x:c r="G64" s="4" t="n">
        <x:f>F64</x:f>
        <x:v>100000</x:v>
      </x:c>
      <x:c r="H64" s="4" t="n">
        <x:f t="shared" ref="H64:K64" si="53">G64</x:f>
        <x:v>100000</x:v>
      </x:c>
      <x:c r="I64" s="4" t="n">
        <x:f t="shared" si="53">H64</x:f>
        <x:v>100000</x:v>
      </x:c>
      <x:c r="J64" s="4" t="n">
        <x:f t="shared" si="53">I64</x:f>
        <x:v>100000</x:v>
      </x:c>
      <x:c r="K64" s="4" t="n">
        <x:f t="shared" si="53">J64</x:f>
        <x:v>100000</x:v>
      </x:c>
    </x:row>
    <x:row r="65">
      <x:c r="C65" s="1" t="s">
        <x:v>31</x:v>
      </x:c>
      <x:c r="D65" s="3" t="n">
        <x:v>-10000</x:v>
      </x:c>
      <x:c r="E65" s="3" t="n">
        <x:v>-10000</x:v>
      </x:c>
      <x:c r="F65" s="3" t="n">
        <x:f>E65</x:f>
        <x:v>-10000</x:v>
      </x:c>
      <x:c r="G65" s="4" t="n">
        <x:f>F65</x:f>
        <x:v>-10000</x:v>
      </x:c>
      <x:c r="H65" s="4" t="n">
        <x:f t="shared" ref="H65:K65" si="54">G65</x:f>
        <x:v>-10000</x:v>
      </x:c>
      <x:c r="I65" s="4" t="n">
        <x:f t="shared" si="54">H65</x:f>
        <x:v>-10000</x:v>
      </x:c>
      <x:c r="J65" s="4" t="n">
        <x:f t="shared" si="54">I65</x:f>
        <x:v>-10000</x:v>
      </x:c>
      <x:c r="K65" s="4" t="n">
        <x:f t="shared" si="54">J65</x:f>
        <x:v>-10000</x:v>
      </x:c>
    </x:row>
    <x:row r="66">
      <x:c r="C66" s="1" t="s">
        <x:v>32</x:v>
      </x:c>
      <x:c r="D66" s="3" t="n">
        <x:v>0</x:v>
      </x:c>
      <x:c r="E66" s="3" t="n">
        <x:v>0</x:v>
      </x:c>
      <x:c r="F66" s="3" t="n">
        <x:f>E66</x:f>
        <x:v>0</x:v>
      </x:c>
      <x:c r="G66" s="4" t="n">
        <x:f>F66</x:f>
        <x:v>0</x:v>
      </x:c>
      <x:c r="H66" s="4" t="n">
        <x:f t="shared" ref="H66:K66" si="55">G66</x:f>
        <x:v>0</x:v>
      </x:c>
      <x:c r="I66" s="4" t="n">
        <x:f t="shared" si="55">H66</x:f>
        <x:v>0</x:v>
      </x:c>
      <x:c r="J66" s="4" t="n">
        <x:f t="shared" si="55">I66</x:f>
        <x:v>0</x:v>
      </x:c>
      <x:c r="K66" s="4" t="n">
        <x:f t="shared" si="55">J66</x:f>
        <x:v>0</x:v>
      </x:c>
    </x:row>
    <x:row r="67">
      <x:c r="C67" s="1" t="s">
        <x:v>33</x:v>
      </x:c>
      <x:c r="D67" s="3" t="n">
        <x:v>370000</x:v>
      </x:c>
      <x:c r="E67" s="3" t="n">
        <x:v>394500</x:v>
      </x:c>
      <x:c r="F67" s="3" t="n">
        <x:f>E67+F20</x:f>
        <x:v>664304.52</x:v>
      </x:c>
      <x:c r="G67" s="4" t="n">
        <x:f>F67+G20</x:f>
        <x:v>953965.9523784001</x:v>
      </x:c>
      <x:c r="H67" s="4" t="n">
        <x:f t="shared" ref="H67:K67" si="56">G67+H20</x:f>
        <x:v>1263503.0065005943</x:v>
      </x:c>
      <x:c r="I67" s="4" t="n">
        <x:f t="shared" si="56">H67+I20</x:f>
        <x:v>1594080.0005776994</x:v>
      </x:c>
      <x:c r="J67" s="4" t="n">
        <x:f t="shared" si="56">I67+J20</x:f>
        <x:v>1945345.5134983743</x:v>
      </x:c>
      <x:c r="K67" s="4" t="n">
        <x:f t="shared" si="56">J67+K20</x:f>
        <x:v>2318409.479251699</x:v>
      </x:c>
    </x:row>
    <x:row r="68" ht="16.5">
      <x:c r="C68" s="6" t="s">
        <x:v>34</x:v>
      </x:c>
      <x:c r="D68" s="16" t="n">
        <x:v>460000</x:v>
      </x:c>
      <x:c r="E68" s="16" t="n">
        <x:f t="shared" ref="E68:F68" si="57">SUM(E64:E67)</x:f>
        <x:v>484500</x:v>
      </x:c>
      <x:c r="F68" s="16" t="n">
        <x:f t="shared" si="57">SUM(F64:F67)</x:f>
        <x:v>754304.52</x:v>
      </x:c>
      <x:c r="G68" s="16" t="n">
        <x:f>SUM(G64:G67)</x:f>
        <x:v>1043965.9523784001</x:v>
      </x:c>
      <x:c r="H68" s="16" t="n">
        <x:f>SUM(H64:H67)</x:f>
        <x:v>1353503.0065005943</x:v>
      </x:c>
      <x:c r="I68" s="16" t="n">
        <x:f>SUM(I64:I67)</x:f>
        <x:v>1684080.0005776994</x:v>
      </x:c>
      <x:c r="J68" s="16" t="n">
        <x:f>SUM(J64:J67)</x:f>
        <x:v>2035345.5134983743</x:v>
      </x:c>
      <x:c r="K68" s="16" t="n">
        <x:f>SUM(K64:K67)</x:f>
        <x:v>2408409.479251699</x:v>
      </x:c>
    </x:row>
    <x:row r="69">
      <x:c r="D69"/>
      <x:c r="E69"/>
    </x:row>
    <x:row r="70">
      <x:c r="C70" s="2" t="s">
        <x:v>35</x:v>
      </x:c>
      <x:c r="D70" s="5" t="n">
        <x:v>645000</x:v>
      </x:c>
      <x:c r="E70" s="5" t="n">
        <x:f t="shared" ref="E70" si="58">E68+E62</x:f>
        <x:v>671500</x:v>
      </x:c>
      <x:c r="F70" s="5" t="n">
        <x:f t="shared" ref="F70:K70" si="59">SUM(F62,F68)</x:f>
        <x:v>938573.202</x:v>
      </x:c>
      <x:c r="G70" s="5" t="n">
        <x:f t="shared" si="59">SUM(G62,G68)</x:f>
        <x:v>1234190.7552984</x:v>
      </x:c>
      <x:c r="H70" s="5" t="n">
        <x:f t="shared" si="59">SUM(H62,H68)</x:f>
        <x:v>1549515.1735811944</x:v>
      </x:c>
      <x:c r="I70" s="5" t="n">
        <x:f t="shared" si="59">SUM(I62,I68)</x:f>
        <x:v>1886197.8368477323</x:v>
      </x:c>
      <x:c r="J70" s="5" t="n">
        <x:f t="shared" si="59">SUM(J62,J68)</x:f>
        <x:v>2243319.241581909</x:v>
      </x:c>
      <x:c r="K70" s="5" t="n">
        <x:f t="shared" si="59">SUM(K62,K68)</x:f>
        <x:v>2622531.8937394107</x:v>
      </x:c>
    </x:row>
    <x:row r="71">
      <x:c r="C71" s="1" t="s">
        <x:v>36</x:v>
      </x:c>
      <x:c r="D71" s="4" t="n">
        <x:v>0</x:v>
      </x:c>
      <x:c r="E71" s="4" t="n">
        <x:f t="shared" ref="E71:K71" si="60">E52-(E70)</x:f>
        <x:v>0</x:v>
      </x:c>
      <x:c r="F71" s="4" t="n">
        <x:f t="shared" si="60">F52-F70</x:f>
        <x:v>0</x:v>
      </x:c>
      <x:c r="G71" s="4" t="n">
        <x:f>G52-G70</x:f>
        <x:v>2.3283064365386963e-10</x:v>
      </x:c>
      <x:c r="H71" s="4" t="n">
        <x:f>H52-H70</x:f>
        <x:v>0</x:v>
      </x:c>
      <x:c r="I71" s="4" t="n">
        <x:f t="shared" si="60">I52-I70</x:f>
        <x:v>0</x:v>
      </x:c>
      <x:c r="J71" s="4" t="n">
        <x:f t="shared" si="60">J52-J70</x:f>
        <x:v>0</x:v>
      </x:c>
      <x:c r="K71" s="4" t="n">
        <x:f t="shared" si="60">K52-K70</x:f>
        <x:v>-4.656612873077393e-10</x:v>
      </x:c>
    </x:row>
    <x:row r="73">
      <x:c r="B73" s="1" t="s">
        <x:v>1</x:v>
      </x:c>
      <x:c r="C73" s="2" t="s">
        <x:v>37</x:v>
      </x:c>
    </x:row>
    <x:row r="75">
      <x:c r="C75" s="1" t="s">
        <x:v>38</x:v>
      </x:c>
      <x:c r="F75" s="4"/>
      <x:c r="G75" s="18" t="n">
        <x:f>F64</x:f>
        <x:v>100000</x:v>
      </x:c>
      <x:c r="H75" s="18" t="n">
        <x:f>G77</x:f>
        <x:v>0</x:v>
      </x:c>
      <x:c r="I75" s="18" t="n">
        <x:f>H77</x:f>
        <x:v>0</x:v>
      </x:c>
      <x:c r="J75" s="18" t="n">
        <x:f>I77</x:f>
        <x:v>0</x:v>
      </x:c>
      <x:c r="K75" s="18" t="n">
        <x:f>J77</x:f>
        <x:v>0</x:v>
      </x:c>
    </x:row>
    <x:row r="76">
      <x:c r="C76" s="1" t="s">
        <x:v>39</x:v>
      </x:c>
      <x:c r="F76" t="n">
        <x:f>E64</x:f>
        <x:v>100000</x:v>
      </x:c>
      <x:c r="G76" s="20" t="n">
        <x:f>F64</x:f>
        <x:v>100000</x:v>
      </x:c>
      <x:c r="H76" s="20" t="n">
        <x:f>G64</x:f>
        <x:v>100000</x:v>
      </x:c>
      <x:c r="I76" s="20" t="n">
        <x:f>H64</x:f>
        <x:v>100000</x:v>
      </x:c>
      <x:c r="J76" s="20" t="n">
        <x:f>I64</x:f>
        <x:v>100000</x:v>
      </x:c>
      <x:c r="K76" s="20" t="n">
        <x:f>J64</x:f>
        <x:v>100000</x:v>
      </x:c>
    </x:row>
    <x:row r="77">
      <x:c r="C77" s="2" t="str">
        <x:v>New Issuances of Common Stock</x:v>
      </x:c>
      <x:c r="D77" s="2"/>
      <x:c r="E77" s="2"/>
      <x:c r="F77" s="2" t="n">
        <x:v>0</x:v>
      </x:c>
      <x:c r="G77" s="19" t="n">
        <x:v>0</x:v>
      </x:c>
      <x:c r="H77" s="19" t="n">
        <x:f t="shared" ref="H77:K77" si="61">SUM(H75:H76)</x:f>
        <x:v>0</x:v>
      </x:c>
      <x:c r="I77" s="19" t="n">
        <x:f t="shared" si="61"/>
        <x:v>0</x:v>
      </x:c>
      <x:c r="J77" s="19" t="n">
        <x:f t="shared" si="61"/>
        <x:v>0</x:v>
      </x:c>
      <x:c r="K77" s="19" t="n">
        <x:f t="shared" si="61"/>
        <x:v>0</x:v>
      </x:c>
    </x:row>
    <x:row r="78">
      <x:c r="F78" t="n">
        <x:f>SUM(F76:F77)</x:f>
        <x:v>100000</x:v>
      </x:c>
      <x:c r="G78" t="n">
        <x:f>SUM(G76:G77)</x:f>
        <x:v>100000</x:v>
      </x:c>
      <x:c r="H78" t="n">
        <x:f>SUM(H76:H77)</x:f>
        <x:v>100000</x:v>
      </x:c>
      <x:c r="I78" t="n">
        <x:f>SUM(I76:I77)</x:f>
        <x:v>100000</x:v>
      </x:c>
      <x:c r="J78" t="n">
        <x:f>SUM(J76:J77)</x:f>
        <x:v>100000</x:v>
      </x:c>
      <x:c r="K78" t="n">
        <x:f>SUM(K76:K77)</x:f>
        <x:v>100000</x:v>
      </x:c>
    </x:row>
    <x:row r="80">
      <x:c r="C80" s="1" t="s">
        <x:v>40</x:v>
      </x:c>
      <x:c r="G80" s="18" t="n">
        <x:f>F65</x:f>
        <x:v>-10000</x:v>
      </x:c>
      <x:c r="H80" s="18" t="n">
        <x:f>G82</x:f>
        <x:v>-10000</x:v>
      </x:c>
      <x:c r="I80" s="18" t="n">
        <x:f>H82</x:f>
        <x:v>-10000</x:v>
      </x:c>
      <x:c r="J80" s="18" t="n">
        <x:f>I82</x:f>
        <x:v>-10000</x:v>
      </x:c>
      <x:c r="K80" s="18" t="n">
        <x:f>J82</x:f>
        <x:v>-10000</x:v>
      </x:c>
    </x:row>
    <x:row r="81">
      <x:c r="C81" s="1" t="s">
        <x:v>41</x:v>
      </x:c>
      <x:c r="G81" s="20">
        <x:v>-19</x:v>
      </x:c>
      <x:c r="H81" s="20">
        <x:v>-19</x:v>
      </x:c>
      <x:c r="I81" s="20">
        <x:v>-19</x:v>
      </x:c>
      <x:c r="J81" s="20">
        <x:v>-19</x:v>
      </x:c>
      <x:c r="K81" s="20">
        <x:v>-19</x:v>
      </x:c>
    </x:row>
    <x:row r="82">
      <x:c r="C82" s="2" t="s">
        <x:v>42</x:v>
      </x:c>
      <x:c r="F82" t="n">
        <x:f>E65</x:f>
        <x:v>-10000</x:v>
      </x:c>
      <x:c r="G82" s="19" t="n">
        <x:f>F65</x:f>
        <x:v>-10000</x:v>
      </x:c>
      <x:c r="H82" s="19" t="n">
        <x:f t="shared" ref="H82:K82" si="62">G65</x:f>
        <x:v>-10000</x:v>
      </x:c>
      <x:c r="I82" s="19" t="n">
        <x:f t="shared" si="62">H65</x:f>
        <x:v>-10000</x:v>
      </x:c>
      <x:c r="J82" s="19" t="n">
        <x:f t="shared" si="62">I65</x:f>
        <x:v>-10000</x:v>
      </x:c>
      <x:c r="K82" s="19" t="n">
        <x:f t="shared" si="62">J65</x:f>
        <x:v>-10000</x:v>
      </x:c>
    </x:row>
    <x:row r="83">
      <x:c r="C83" t="str">
        <x:v>New repurchases (buybacks)</x:v>
      </x:c>
      <x:c r="F83" t="n">
        <x:v>0</x:v>
      </x:c>
      <x:c r="G83" t="n">
        <x:v>0</x:v>
      </x:c>
      <x:c r="H83" t="n">
        <x:v>0</x:v>
      </x:c>
      <x:c r="I83" t="n">
        <x:v>0</x:v>
      </x:c>
      <x:c r="J83" t="n">
        <x:v>0</x:v>
      </x:c>
      <x:c r="K83" t="n">
        <x:v>0</x:v>
      </x:c>
    </x:row>
    <x:row r="84">
      <x:c r="F84" t="n">
        <x:f>SUM(F82:F83)</x:f>
        <x:v>-10000</x:v>
      </x:c>
      <x:c r="G84" t="n">
        <x:f>SUM(G82:G83)</x:f>
        <x:v>-10000</x:v>
      </x:c>
      <x:c r="H84" t="n">
        <x:f>SUM(H82:H83)</x:f>
        <x:v>-10000</x:v>
      </x:c>
      <x:c r="I84" t="n">
        <x:f>SUM(I82:I83)</x:f>
        <x:v>-10000</x:v>
      </x:c>
      <x:c r="J84" t="n">
        <x:f>SUM(J82:J83)</x:f>
        <x:v>-10000</x:v>
      </x:c>
      <x:c r="K84" t="n">
        <x:f>SUM(K82:K83)</x:f>
        <x:v>-10000</x:v>
      </x:c>
    </x:row>
    <x:row r="85">
      <x:c r="C85" s="1" t="s">
        <x:v>43</x:v>
      </x:c>
      <x:c r="G85" s="18" t="n">
        <x:f>F67</x:f>
        <x:v>664304.52</x:v>
      </x:c>
      <x:c r="H85" s="18" t="n">
        <x:f>G88</x:f>
        <x:v>664304.52</x:v>
      </x:c>
      <x:c r="I85" s="18" t="n">
        <x:f t="shared" ref="I85:K85" si="63">H88</x:f>
        <x:v>953965.9523784001</x:v>
      </x:c>
      <x:c r="J85" s="18">
        <x:f t="shared" si="63"/>
        <x:v>1192.3317755340713</x:v>
      </x:c>
      <x:c r="K85" s="18">
        <x:f t="shared" si="63"/>
        <x:v>1389.9487126965189</x:v>
      </x:c>
    </x:row>
    <x:row r="86">
      <x:c r="C86" s="1" t="s">
        <x:v>11</x:v>
      </x:c>
      <x:c r="G86" s="21" t="n">
        <x:f>G20</x:f>
        <x:v>289661.4323784001</x:v>
      </x:c>
      <x:c r="H86" s="21" t="n">
        <x:f>H20</x:f>
        <x:v>309537.05412219407</x:v>
      </x:c>
      <x:c r="I86" s="21" t="n">
        <x:f>I20</x:f>
        <x:v>330576.9940771052</x:v>
      </x:c>
      <x:c r="J86" s="21" t="n">
        <x:f>J20</x:f>
        <x:v>351265.5129206749</x:v>
      </x:c>
      <x:c r="K86" s="21" t="n">
        <x:f>K20</x:f>
        <x:v>373063.9657533248</x:v>
      </x:c>
    </x:row>
    <x:row r="87">
      <x:c r="C87" s="1" t="s">
        <x:v>44</x:v>
      </x:c>
      <x:c r="G87" s="20">
        <x:v>-120</x:v>
      </x:c>
      <x:c r="H87" s="20">
        <x:v>-120</x:v>
      </x:c>
      <x:c r="I87" s="20">
        <x:v>-120</x:v>
      </x:c>
      <x:c r="J87" s="20">
        <x:v>-120</x:v>
      </x:c>
      <x:c r="K87" s="20">
        <x:v>-120</x:v>
      </x:c>
    </x:row>
    <x:row r="88">
      <x:c r="C88" s="2" t="s">
        <x:v>45</x:v>
      </x:c>
      <x:c r="F88" t="n">
        <x:f>E67</x:f>
        <x:v>394500</x:v>
      </x:c>
      <x:c r="G88" s="19" t="n">
        <x:f>F67</x:f>
        <x:v>664304.52</x:v>
      </x:c>
      <x:c r="H88" s="19" t="n">
        <x:f t="shared" ref="H88:K88" si="64">G67</x:f>
        <x:v>953965.9523784001</x:v>
      </x:c>
      <x:c r="I88" s="19" t="n">
        <x:f t="shared" si="64">H67</x:f>
        <x:v>1263503.0065005943</x:v>
      </x:c>
      <x:c r="J88" s="19" t="n">
        <x:f t="shared" si="64">I67</x:f>
        <x:v>1594080.0005776994</x:v>
      </x:c>
      <x:c r="K88" s="19" t="n">
        <x:f t="shared" si="64">J67</x:f>
        <x:v>1945345.5134983743</x:v>
      </x:c>
    </x:row>
    <x:row r="89">
      <x:c r="F89" t="n">
        <x:f>F20</x:f>
        <x:v>269804.52</x:v>
      </x:c>
      <x:c r="G89" t="n">
        <x:f>G20</x:f>
        <x:v>289661.4323784001</x:v>
      </x:c>
      <x:c r="H89" t="n">
        <x:f>H20</x:f>
        <x:v>309537.05412219407</x:v>
      </x:c>
      <x:c r="I89" t="n">
        <x:f>I20</x:f>
        <x:v>330576.9940771052</x:v>
      </x:c>
      <x:c r="J89" t="n">
        <x:f>J20</x:f>
        <x:v>351265.5129206749</x:v>
      </x:c>
      <x:c r="K89" t="n">
        <x:f>K20</x:f>
        <x:v>373063.9657533248</x:v>
      </x:c>
    </x:row>
    <x:row r="90">
      <x:c r="F90" t="n">
        <x:v>0</x:v>
      </x:c>
      <x:c r="G90" t="n">
        <x:v>0</x:v>
      </x:c>
      <x:c r="H90" t="n">
        <x:v>0</x:v>
      </x:c>
      <x:c r="I90" t="n">
        <x:v>0</x:v>
      </x:c>
      <x:c r="J90" t="n">
        <x:v>0</x:v>
      </x:c>
      <x:c r="K90" t="n">
        <x:v>0</x:v>
      </x:c>
    </x:row>
    <x:row r="91">
      <x:c r="F91" t="n">
        <x:f>SUM(F88:F90)</x:f>
        <x:v>664304.52</x:v>
      </x:c>
      <x:c r="G91" t="n">
        <x:f>SUM(G88:G90)</x:f>
        <x:v>953965.9523784001</x:v>
      </x:c>
      <x:c r="H91" t="n">
        <x:f>SUM(H88:H90)</x:f>
        <x:v>1263503.0065005943</x:v>
      </x:c>
      <x:c r="I91" t="n">
        <x:f>SUM(I88:I90)</x:f>
        <x:v>1594080.0005776994</x:v>
      </x:c>
      <x:c r="J91" t="n">
        <x:f>SUM(J88:J90)</x:f>
        <x:v>1945345.5134983743</x:v>
      </x:c>
      <x:c r="K91" t="n">
        <x:f>SUM(K88:K90)</x:f>
        <x:v>2318409.479251699</x:v>
      </x:c>
    </x:row>
    <x:row r="92" ht="27">
      <x:c r="B92" s="1" t="s">
        <x:v>1</x:v>
      </x:c>
      <x:c r="C92" s="25" t="s">
        <x:v>46</x:v>
      </x:c>
    </x:row>
    <x:row r="94">
      <x:c r="C94" s="1" t="s">
        <x:v>11</x:v>
      </x:c>
      <x:c r="G94" s="4" t="n">
        <x:f>G20</x:f>
        <x:v>289661.4323784001</x:v>
      </x:c>
      <x:c r="H94" s="4" t="n">
        <x:f t="shared" ref="H94:K94" si="65">H20</x:f>
        <x:v>309537.05412219407</x:v>
      </x:c>
      <x:c r="I94" s="4">
        <x:f t="shared" si="65"/>
        <x:v>287.58660577884154</x:v>
      </x:c>
      <x:c r="J94" s="4">
        <x:f t="shared" si="65"/>
        <x:v>317.61693716244758</x:v>
      </x:c>
      <x:c r="K94" s="4">
        <x:f t="shared" si="65"/>
        <x:v>350.96537789280126</x:v>
      </x:c>
    </x:row>
    <x:row r="95">
      <x:c r="C95" s="1" t="s">
        <x:v>47</x:v>
      </x:c>
      <x:c r="G95" s="4" t="n">
        <x:f>-(G31+G34)</x:f>
        <x:v>29039.442000000003</x:v>
      </x:c>
      <x:c r="H95" s="4" t="n">
        <x:f t="shared" ref="H95:K95" si="66">-(H31+H34)</x:f>
        <x:v>30636.61131</x:v>
      </x:c>
      <x:c r="I95" s="4">
        <x:f t="shared" si="66"/>
        <x:v>65.728404395191589</x:v>
      </x:c>
      <x:c r="J95" s="4">
        <x:f t="shared" si="66"/>
        <x:v>72.002479360187152</x:v>
      </x:c>
      <x:c r="K95" s="4">
        <x:f t="shared" si="66"/>
        <x:v>78.875443299114096</x:v>
      </x:c>
    </x:row>
    <x:row r="96">
      <x:c r="C96" s="1" t="s">
        <x:v>14</x:v>
      </x:c>
      <x:c r="G96" s="4" t="n">
        <x:f>F43-G43</x:f>
        <x:v>-4383.312000000005</x:v>
      </x:c>
      <x:c r="H96" s="4" t="n">
        <x:f t="shared" ref="H96:K96" si="67">G43-H43</x:f>
        <x:v>-4259.118159999998</x:v>
      </x:c>
      <x:c r="I96" s="4">
        <x:f t="shared" si="67"/>
        <x:v>-17.411208865514652</x:v>
      </x:c>
      <x:c r="J96" s="4">
        <x:f t="shared" si="67"/>
        <x:v>-19.073187893586493</x:v>
      </x:c>
      <x:c r="K96" s="4">
        <x:f t="shared" si="67"/>
        <x:v>-20.893810374337932</x:v>
      </x:c>
    </x:row>
    <x:row r="97">
      <x:c r="C97" s="1" t="s">
        <x:v>15</x:v>
      </x:c>
      <x:c r="F97" t="n">
        <x:f>F20</x:f>
        <x:v>269804.52</x:v>
      </x:c>
      <x:c r="G97" s="4" t="n">
        <x:f t="shared" ref="G97:K97" si="68">G20</x:f>
        <x:v>289661.4323784001</x:v>
      </x:c>
      <x:c r="H97" s="4" t="n">
        <x:f t="shared" si="68">H20</x:f>
        <x:v>309537.05412219407</x:v>
      </x:c>
      <x:c r="I97" s="4" t="n">
        <x:f t="shared" si="68">I20</x:f>
        <x:v>330576.9940771052</x:v>
      </x:c>
      <x:c r="J97" s="4" t="n">
        <x:f t="shared" si="68">J20</x:f>
        <x:v>351265.5129206749</x:v>
      </x:c>
      <x:c r="K97" s="4" t="n">
        <x:f t="shared" si="68">K20</x:f>
        <x:v>373063.9657533248</x:v>
      </x:c>
    </x:row>
    <x:row r="98">
      <x:c r="C98" s="1" t="s">
        <x:v>16</x:v>
      </x:c>
      <x:c r="F98" t="n">
        <x:f>-(F31+F34)</x:f>
        <x:v>27395.7</x:v>
      </x:c>
      <x:c r="G98" s="4" t="n">
        <x:f t="shared" ref="G98:K98" si="69">-(G31+G34)</x:f>
        <x:v>29039.442000000003</x:v>
      </x:c>
      <x:c r="H98" s="4" t="n">
        <x:f t="shared" si="69">-(H31+H34)</x:f>
        <x:v>30636.61131</x:v>
      </x:c>
      <x:c r="I98" s="4" t="n">
        <x:f t="shared" si="69">-(I31+I34)</x:f>
        <x:v>32321.624932050003</x:v>
      </x:c>
      <x:c r="J98" s="4" t="n">
        <x:f t="shared" si="69">-(J31+J34)</x:f>
        <x:v>33937.7061786525</x:v>
      </x:c>
      <x:c r="K98" s="4" t="n">
        <x:f t="shared" si="69">-(K31+K34)</x:f>
        <x:v>35634.59148758513</x:v>
      </x:c>
    </x:row>
    <x:row r="99">
      <x:c r="C99" s="1" t="s">
        <x:v>22</x:v>
      </x:c>
      <x:c r="F99" t="n">
        <x:f>-(F43-E43)</x:f>
        <x:v>-5055.199999999997</x:v>
      </x:c>
      <x:c r="G99" s="13" t="n">
        <x:f>-(G43-F43)</x:f>
        <x:v>-4383.312000000005</x:v>
      </x:c>
      <x:c r="H99" s="13" t="n">
        <x:f t="shared" ref="H99:K99" si="70">-(H43-G43)</x:f>
        <x:v>-4259.118159999998</x:v>
      </x:c>
      <x:c r="I99" s="13" t="n">
        <x:f t="shared" si="70">-(I43-H43)</x:f>
        <x:v>-4493.369658800002</x:v>
      </x:c>
      <x:c r="J99" s="13" t="n">
        <x:f t="shared" si="70">-(J43-I43)</x:f>
        <x:v>-4309.549990939995</x:v>
      </x:c>
      <x:c r="K99" s="13" t="n">
        <x:f t="shared" si="70">-(K43-J43)</x:f>
        <x:v>-4525.027490487002</x:v>
      </x:c>
    </x:row>
    <x:row r="100">
      <x:c r="C100" s="1" t="s">
        <x:v>23</x:v>
      </x:c>
      <x:c r="F100" t="n">
        <x:f>-(F44-E44)</x:f>
        <x:v>-7173.399999999994</x:v>
      </x:c>
      <x:c r="G100" s="13" t="n">
        <x:f t="shared" ref="G100:K100" si="71">-(G44-F44)</x:f>
        <x:v>-6130.403999999995</x:v>
      </x:c>
      <x:c r="H100" s="13" t="n">
        <x:f t="shared" si="71">-(H44-G44)</x:f>
        <x:v>-5956.709220000004</x:v>
      </x:c>
      <x:c r="I100" s="13" t="n">
        <x:f t="shared" si="71">-(I44-H44)</x:f>
        <x:v>-6284.328227099992</x:v>
      </x:c>
      <x:c r="J100" s="13" t="n">
        <x:f t="shared" si="71">-(J44-I44)</x:f>
        <x:v>-6027.242072355002</x:v>
      </x:c>
      <x:c r="K100" s="13" t="n">
        <x:f t="shared" si="71">-(K44-J44)</x:f>
        <x:v>-6328.604175972752</x:v>
      </x:c>
    </x:row>
    <x:row r="101">
      <x:c r="C101" s="1" t="s">
        <x:v>24</x:v>
      </x:c>
      <x:c r="F101" t="n">
        <x:f>-(F45-E45)</x:f>
        <x:v>-697.8500000000004</x:v>
      </x:c>
      <x:c r="G101" s="13" t="n">
        <x:f t="shared" ref="G101:K101" si="72">-(G45-F45)</x:f>
        <x:v>-821.8709999999992</x:v>
      </x:c>
      <x:c r="H101" s="13" t="n">
        <x:f t="shared" si="72">-(H45-G45)</x:f>
        <x:v>-798.5846549999987</x:v>
      </x:c>
      <x:c r="I101" s="13" t="n">
        <x:f t="shared" si="72">-(I45-H45)</x:f>
        <x:v>-842.5068110250013</x:v>
      </x:c>
      <x:c r="J101" s="13" t="n">
        <x:f t="shared" si="72">-(J45-I45)</x:f>
        <x:v>-808.0406233012509</x:v>
      </x:c>
      <x:c r="K101" s="13" t="n">
        <x:f t="shared" si="72">-(K45-J45)</x:f>
        <x:v>-848.4426544663111</x:v>
      </x:c>
    </x:row>
    <x:row r="102">
      <x:c r="C102" s="2" t="s">
        <x:v>48</x:v>
      </x:c>
      <x:c r="D102" s="2"/>
      <x:c r="E102" s="2"/>
      <x:c r="F102" s="2" t="n">
        <x:f>F54-E54</x:f>
        <x:v>-5956.768000000004</x:v>
      </x:c>
      <x:c r="G102" s="5" t="n">
        <x:f>G54-F54</x:f>
        <x:v>2942.5939199999993</x:v>
      </x:c>
      <x:c r="H102" s="5" t="n">
        <x:f t="shared" ref="H102:K102" si="73">H54-G54</x:f>
        <x:v>2859.220425599997</x:v>
      </x:c>
      <x:c r="I102" s="5" t="n">
        <x:f t="shared" si="73">I54-H54</x:f>
        <x:v>3016.477549007999</x:v>
      </x:c>
      <x:c r="J102" s="5" t="n">
        <x:f t="shared" si="73">J54-I54</x:f>
        <x:v>2893.076194730398</x:v>
      </x:c>
      <x:c r="K102" s="5" t="n">
        <x:f t="shared" si="73">K54-J54</x:f>
        <x:v>3037.7300044669246</x:v>
      </x:c>
    </x:row>
    <x:row r="103">
      <x:c r="F103" t="n">
        <x:f>F55-E55</x:f>
        <x:v>2829.75</x:v>
      </x:c>
      <x:c r="G103" t="n">
        <x:f>G55-F55</x:f>
        <x:v>1369.7850000000035</x:v>
      </x:c>
      <x:c r="H103" t="n">
        <x:f>H55-G55</x:f>
        <x:v>1330.9744249999967</x:v>
      </x:c>
      <x:c r="I103" t="n">
        <x:f>I55-H55</x:f>
        <x:v>1404.1780183750016</x:v>
      </x:c>
      <x:c r="J103" t="n">
        <x:f>J55-I55</x:f>
        <x:v>1346.7343721687503</x:v>
      </x:c>
      <x:c r="K103" t="n">
        <x:f>K55-J55</x:f>
        <x:v>1414.07109077719</x:v>
      </x:c>
    </x:row>
    <x:row r="104">
      <x:c r="C104" s="1" t="s">
        <x:v>49</x:v>
      </x:c>
      <x:c r="F104" t="n">
        <x:f>F56-E56</x:f>
        <x:v>395.7000000000007</x:v>
      </x:c>
      <x:c r="G104" s="4" t="n">
        <x:f>G56-F56</x:f>
        <x:v>1643.7419999999984</x:v>
      </x:c>
      <x:c r="H104" s="4" t="n">
        <x:f t="shared" ref="H104:K104" si="74">H56-G56</x:f>
        <x:v>1597.1693099999975</x:v>
      </x:c>
      <x:c r="I104" s="4" t="n">
        <x:f t="shared" si="74">I56-H56</x:f>
        <x:v>1685.0136220500026</x:v>
      </x:c>
      <x:c r="J104" s="4" t="n">
        <x:f t="shared" si="74">J56-I56</x:f>
        <x:v>1616.0812466025018</x:v>
      </x:c>
      <x:c r="K104" s="4" t="n">
        <x:f t="shared" si="74">K56-J56</x:f>
        <x:v>1696.8853089326221</x:v>
      </x:c>
    </x:row>
    <x:row r="105">
      <x:c r="C105" s="1" t="s">
        <x:v>50</x:v>
      </x:c>
      <x:c r="F105" t="n">
        <x:f>SUM(F97:F104)</x:f>
        <x:v>281542.45200000005</x:v>
      </x:c>
      <x:c r="G105" s="4" t="n">
        <x:f>SUM(G97:G104)</x:f>
        <x:v>313321.4082984001</x:v>
      </x:c>
      <x:c r="H105" s="4" t="n">
        <x:f t="shared" ref="H105:K105" si="75">SUM(H97:H104)</x:f>
        <x:v>334946.6175577941</x:v>
      </x:c>
      <x:c r="I105" s="4" t="n">
        <x:f t="shared" si="75">SUM(I97:I104)</x:f>
        <x:v>357384.0835016631</x:v>
      </x:c>
      <x:c r="J105" s="4" t="n">
        <x:f t="shared" si="75">SUM(J97:J104)</x:f>
        <x:v>379914.2782262329</x:v>
      </x:c>
      <x:c r="K105" s="4" t="n">
        <x:f t="shared" si="75">SUM(K97:K104)</x:f>
        <x:v>403145.16932416055</x:v>
      </x:c>
    </x:row>
    <x:row r="106">
      <x:c r="C106" s="2" t="s">
        <x:v>51</x:v>
      </x:c>
      <x:c r="D106" s="2"/>
      <x:c r="E106" s="2"/>
      <x:c r="F106" s="2"/>
      <x:c r="G106" s="5" t="n">
        <x:f>SUM(G104:G105)</x:f>
        <x:v>314965.1502984001</x:v>
      </x:c>
      <x:c r="H106" s="5" t="n">
        <x:f t="shared" ref="H106:K106" si="76">SUM(H104:H105)</x:f>
        <x:v>336543.7868677941</x:v>
      </x:c>
      <x:c r="I106" s="5">
        <x:f t="shared" si="76"/>
        <x:v>-98.592606592787376</x:v>
      </x:c>
      <x:c r="J106" s="5">
        <x:f t="shared" si="76"/>
        <x:v>-108.00371904028071</x:v>
      </x:c>
      <x:c r="K106" s="5">
        <x:f t="shared" si="76"/>
        <x:v>-118.31316494867114</x:v>
      </x:c>
    </x:row>
    <x:row r="107">
      <x:c r="F107" t="n">
        <x:f>F32</x:f>
        <x:v>-36527.6</x:v>
      </x:c>
      <x:c r="G107" t="n">
        <x:f>G32</x:f>
        <x:v>-38719.256</x:v>
      </x:c>
      <x:c r="H107" t="n">
        <x:f>H32</x:f>
        <x:v>-40848.81508</x:v>
      </x:c>
      <x:c r="I107" t="n">
        <x:f>I32</x:f>
        <x:v>-43095.4999094</x:v>
      </x:c>
      <x:c r="J107" t="n">
        <x:f>J32</x:f>
        <x:v>-45250.27490487</x:v>
      </x:c>
      <x:c r="K107" t="n">
        <x:f>K32</x:f>
        <x:v>-47512.7886501135</x:v>
      </x:c>
    </x:row>
    <x:row r="108">
      <x:c r="C108" s="1" t="s">
        <x:v>27</x:v>
      </x:c>
      <x:c r="F108" t="n">
        <x:f>F35</x:f>
        <x:v>-7305.52</x:v>
      </x:c>
      <x:c r="G108" s="4" t="n">
        <x:f>G35</x:f>
        <x:v>-7743.8512</x:v>
      </x:c>
      <x:c r="H108" s="4" t="n">
        <x:f t="shared" ref="H108:K108" si="77">H35</x:f>
        <x:v>-8169.763016</x:v>
      </x:c>
      <x:c r="I108" s="4" t="n">
        <x:f t="shared" si="77">I35</x:f>
        <x:v>-8619.09998188</x:v>
      </x:c>
      <x:c r="J108" s="4" t="n">
        <x:f t="shared" si="77">J35</x:f>
        <x:v>-9050.054980974</x:v>
      </x:c>
      <x:c r="K108" s="4" t="n">
        <x:f t="shared" si="77">K35</x:f>
        <x:v>-9502.557730022701</x:v>
      </x:c>
    </x:row>
    <x:row r="109">
      <x:c r="C109" s="1" t="s">
        <x:v>26</x:v>
      </x:c>
      <x:c r="F109" t="n">
        <x:f>SUM(F107:F108)</x:f>
        <x:v>-43833.119999999995</x:v>
      </x:c>
      <x:c r="G109" s="4" t="n">
        <x:f>SUM(G107:G108)</x:f>
        <x:v>-46463.1072</x:v>
      </x:c>
      <x:c r="H109" s="4" t="n">
        <x:f t="shared" ref="H109:K109" si="78">SUM(H107:H108)</x:f>
        <x:v>-49018.578096</x:v>
      </x:c>
      <x:c r="I109" s="4" t="n">
        <x:f t="shared" si="78">SUM(I107:I108)</x:f>
        <x:v>-51714.59989128</x:v>
      </x:c>
      <x:c r="J109" s="4" t="n">
        <x:f t="shared" si="78">SUM(J107:J108)</x:f>
        <x:v>-54300.329885843996</x:v>
      </x:c>
      <x:c r="K109" s="4" t="n">
        <x:f t="shared" si="78">SUM(K107:K108)</x:f>
        <x:v>-57015.3463801362</x:v>
      </x:c>
    </x:row>
    <x:row r="110">
      <x:c r="C110" s="1" t="s">
        <x:v>28</x:v>
      </x:c>
      <x:c r="G110" s="4" t="n">
        <x:f>G61-F61</x:f>
        <x:v>0</x:v>
      </x:c>
      <x:c r="H110" s="4" t="n">
        <x:f t="shared" ref="H110:K110" si="79">H61-G61</x:f>
        <x:v>0</x:v>
      </x:c>
      <x:c r="I110" s="4">
        <x:f t="shared" si="79"/>
        <x:v>0</x:v>
      </x:c>
      <x:c r="J110" s="4">
        <x:f t="shared" si="79"/>
        <x:v>0</x:v>
      </x:c>
      <x:c r="K110" s="4">
        <x:f t="shared" si="79"/>
        <x:v>0</x:v>
      </x:c>
    </x:row>
    <x:row r="111">
      <x:c r="C111" s="1" t="s">
        <x:v>52</x:v>
      </x:c>
      <x:c r="F111" t="n">
        <x:f>F60-E60</x:f>
        <x:v>0</x:v>
      </x:c>
      <x:c r="G111" s="18" t="n">
        <x:f>G60-F60</x:f>
        <x:v>0</x:v>
      </x:c>
      <x:c r="H111" s="18" t="n">
        <x:f t="shared" ref="H111:K111" si="80">H60-G60</x:f>
        <x:v>0</x:v>
      </x:c>
      <x:c r="I111" s="18" t="n">
        <x:f t="shared" si="80">I60-H60</x:f>
        <x:v>0</x:v>
      </x:c>
      <x:c r="J111" s="18" t="n">
        <x:f t="shared" si="80">J60-I60</x:f>
        <x:v>0</x:v>
      </x:c>
      <x:c r="K111" s="18" t="n">
        <x:f t="shared" si="80">K60-J60</x:f>
        <x:v>0</x:v>
      </x:c>
    </x:row>
    <x:row r="112">
      <x:c r="C112" s="1" t="s">
        <x:v>53</x:v>
      </x:c>
      <x:c r="F112" t="n">
        <x:v>0</x:v>
      </x:c>
      <x:c r="G112" s="18" t="n">
        <x:v>0</x:v>
      </x:c>
      <x:c r="H112" s="18" t="n">
        <x:f t="shared" ref="H112:K112" si="81">H81</x:f>
        <x:v>0</x:v>
      </x:c>
      <x:c r="I112" s="18" t="n">
        <x:f t="shared" si="81"/>
        <x:v>0</x:v>
      </x:c>
      <x:c r="J112" s="18" t="n">
        <x:f t="shared" si="81"/>
        <x:v>0</x:v>
      </x:c>
      <x:c r="K112" s="18" t="n">
        <x:f t="shared" si="81"/>
        <x:v>0</x:v>
      </x:c>
    </x:row>
    <x:row r="113">
      <x:c r="C113" s="1" t="s">
        <x:v>32</x:v>
      </x:c>
      <x:c r="F113" t="n">
        <x:f>F61-E61</x:f>
        <x:v>0</x:v>
      </x:c>
      <x:c r="G113" s="4" t="n">
        <x:f>G61-F61</x:f>
        <x:v>0</x:v>
      </x:c>
      <x:c r="H113" s="4" t="n">
        <x:f t="shared" ref="H113:K113" si="82">H61-G61</x:f>
        <x:v>0</x:v>
      </x:c>
      <x:c r="I113" s="4" t="n">
        <x:f t="shared" si="82">I61-H61</x:f>
        <x:v>0</x:v>
      </x:c>
      <x:c r="J113" s="4" t="n">
        <x:f t="shared" si="82">J61-I61</x:f>
        <x:v>0</x:v>
      </x:c>
      <x:c r="K113" s="4" t="n">
        <x:f t="shared" si="82">K61-J61</x:f>
        <x:v>0</x:v>
      </x:c>
    </x:row>
    <x:row r="114">
      <x:c r="C114" s="1" t="s">
        <x:v>44</x:v>
      </x:c>
      <x:c r="F114" t="n">
        <x:v>0</x:v>
      </x:c>
      <x:c r="G114" s="18" t="n">
        <x:v>0</x:v>
      </x:c>
      <x:c r="H114" s="18" t="n">
        <x:f t="shared" ref="H114:K114" si="83">H87</x:f>
        <x:v>0</x:v>
      </x:c>
      <x:c r="I114" s="18" t="n">
        <x:f t="shared" si="83"/>
        <x:v>0</x:v>
      </x:c>
      <x:c r="J114" s="18" t="n">
        <x:f t="shared" si="83"/>
        <x:v>0</x:v>
      </x:c>
      <x:c r="K114" s="18" t="n">
        <x:f t="shared" si="83"/>
        <x:v>0</x:v>
      </x:c>
    </x:row>
    <x:row r="115">
      <x:c r="C115" s="2" t="s">
        <x:v>54</x:v>
      </x:c>
      <x:c r="D115" s="2"/>
      <x:c r="E115" s="2"/>
      <x:c r="F115" s="2" t="n">
        <x:v>0</x:v>
      </x:c>
      <x:c r="G115" s="5" t="n">
        <x:v>0</x:v>
      </x:c>
      <x:c r="H115" s="5" t="n">
        <x:v>0</x:v>
      </x:c>
      <x:c r="I115" s="5" t="n">
        <x:f t="shared" ref="I115:K115" si="84">SUM(I108:I114)</x:f>
        <x:v>0</x:v>
      </x:c>
      <x:c r="J115" s="5" t="n">
        <x:f t="shared" si="84"/>
        <x:v>0</x:v>
      </x:c>
      <x:c r="K115" s="5" t="n">
        <x:f t="shared" si="84"/>
        <x:v>0</x:v>
      </x:c>
    </x:row>
    <x:row r="116">
      <x:c r="F116" t="n">
        <x:v>0</x:v>
      </x:c>
      <x:c r="G116" t="n">
        <x:v>0</x:v>
      </x:c>
      <x:c r="H116" t="n">
        <x:v>0</x:v>
      </x:c>
      <x:c r="I116" t="n">
        <x:v>0</x:v>
      </x:c>
      <x:c r="J116" t="n">
        <x:v>0</x:v>
      </x:c>
      <x:c r="K116" t="n">
        <x:v>0</x:v>
      </x:c>
    </x:row>
    <x:row r="117">
      <x:c r="C117" s="2" t="s">
        <x:v>55</x:v>
      </x:c>
      <x:c r="D117" s="2"/>
      <x:c r="E117" s="2"/>
      <x:c r="F117" s="2" t="n">
        <x:v>0</x:v>
      </x:c>
      <x:c r="G117" s="5" t="n">
        <x:v>0</x:v>
      </x:c>
      <x:c r="H117" s="5" t="n">
        <x:f t="shared" ref="H117:K117" si="85">H115+H106+H102</x:f>
        <x:v>0</x:v>
      </x:c>
      <x:c r="I117" s="5" t="n">
        <x:f t="shared" si="85"/>
        <x:v>0</x:v>
      </x:c>
      <x:c r="J117" s="5" t="n">
        <x:f t="shared" si="85"/>
        <x:v>0</x:v>
      </x:c>
      <x:c r="K117" s="5" t="n">
        <x:f t="shared" si="85"/>
        <x:v>0</x:v>
      </x:c>
    </x:row>
    <x:row r="118">
      <x:c r="F118" t="n">
        <x:f>SUM(F111:F117)</x:f>
        <x:v>0</x:v>
      </x:c>
      <x:c r="G118" t="n">
        <x:f>SUM(G111:G117)</x:f>
        <x:v>0</x:v>
      </x:c>
      <x:c r="H118" t="n">
        <x:f>SUM(H111:H117)</x:f>
        <x:v>0</x:v>
      </x:c>
      <x:c r="I118" t="n">
        <x:f>SUM(I111:I117)</x:f>
        <x:v>0</x:v>
      </x:c>
      <x:c r="J118" t="n">
        <x:f>SUM(J111:J117)</x:f>
        <x:v>0</x:v>
      </x:c>
      <x:c r="K118" t="n">
        <x:f>SUM(K111:K117)</x:f>
        <x:v>0</x:v>
      </x:c>
    </x:row>
    <x:row r="120">
      <x:c r="C120" s="1" t="s">
        <x:v>56</x:v>
      </x:c>
      <x:c r="F120" t="n">
        <x:f>SUM(F105,F109,F118)</x:f>
        <x:v>237709.33200000005</x:v>
      </x:c>
      <x:c r="G120" s="4" t="n">
        <x:f>SUM(G105,G109,G118)</x:f>
        <x:v>266858.30109840014</x:v>
      </x:c>
      <x:c r="H120" s="4" t="n">
        <x:f t="shared" ref="H120:K120" si="86">SUM(H105,H109,H118)</x:f>
        <x:v>285928.0394617941</x:v>
      </x:c>
      <x:c r="I120" s="4" t="n">
        <x:f t="shared" si="86">SUM(I105,I109,I118)</x:f>
        <x:v>305669.4836103831</x:v>
      </x:c>
      <x:c r="J120" s="4" t="n">
        <x:f t="shared" si="86">SUM(J105,J109,J118)</x:f>
        <x:v>325613.94834038895</x:v>
      </x:c>
      <x:c r="K120" s="4" t="n">
        <x:f t="shared" si="86">SUM(K105,K109,K118)</x:f>
        <x:v>346129.82294402434</x:v>
      </x:c>
    </x:row>
    <x:row r="121">
      <x:c r="C121" s="2" t="s">
        <x:v>57</x:v>
      </x:c>
      <x:c r="D121" s="2"/>
      <x:c r="E121" s="2"/>
      <x:c r="F121" s="2" t="n">
        <x:f>E42+F120</x:f>
        <x:v>587709.332</x:v>
      </x:c>
      <x:c r="G121" s="5" t="n">
        <x:f>F42+G120</x:f>
        <x:v>854567.6330984002</x:v>
      </x:c>
      <x:c r="H121" s="5" t="n">
        <x:f t="shared" ref="H121:K121" si="87">G42+H120</x:f>
        <x:v>1140495.6725601943</x:v>
      </x:c>
      <x:c r="I121" s="5" t="n">
        <x:f t="shared" si="87">H42+I120</x:f>
        <x:v>1446165.1561705773</x:v>
      </x:c>
      <x:c r="J121" s="5" t="n">
        <x:f t="shared" si="87">I42+J120</x:f>
        <x:v>1771779.1045109662</x:v>
      </x:c>
      <x:c r="K121" s="5" t="n">
        <x:f t="shared" si="87">J42+K120</x:f>
        <x:v>2117908.9274549903</x:v>
      </x:c>
    </x:row>
  </x:sheetData>
  <x:mergeCells>
    <x:mergeCell ref="D6:E6"/>
    <x:mergeCell ref="F6:K6"/>
  </x:mergeCells>
  <x:pageMargins left="0.7" right="0.7" top="0.75" bottom="0.75" header="0.3" footer="0.3"/>
</x:worksheet>
</file>