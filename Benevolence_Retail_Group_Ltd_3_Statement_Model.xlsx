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59d0e8434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d586cff3e94b94"/>
  </x:sheets>
</x:workbook>
</file>

<file path=xl/sharedStrings.xml><?xml version="1.0" encoding="utf-8"?>
<x:sst xmlns:x="http://schemas.openxmlformats.org/spreadsheetml/2006/main">
  <x:si>
    <x:t xml:space="preserve">§33</x:t>
  </x:si>
  <x:si>
    <x:t xml:space="preserve">Benevolence Retail Group Ltd.</x:t>
  </x:si>
  <x:si>
    <x:t xml:space="preserve">Three Statement Model</x:t>
  </x:si>
  <x:si>
    <x:t xml:space="preserve">FY2026</x:t>
  </x:si>
  <x:si>
    <x:t xml:space="preserve">Projections</x:t>
  </x:si>
  <x:si>
    <x:t xml:space="preserve">Budget</x:t>
  </x:si>
  <x:si>
    <x:t xml:space="preserve">Actual</x:t>
  </x:si>
  <x:si>
    <x:t xml:space="preserve">x</x:t>
  </x:si>
  <x:si>
    <x:t xml:space="preserve">Revenue</x:t>
  </x:si>
  <x:si>
    <x:t xml:space="preserve">Operating Expenses</x:t>
  </x:si>
  <x:si>
    <x:t xml:space="preserve">Interest Income</x:t>
  </x:si>
  <x:si>
    <x:t xml:space="preserve">Interest Expense</x:t>
  </x:si>
  <x:si>
    <x:t xml:space="preserve">Tax Expense</x:t>
  </x:si>
  <x:si>
    <x:t xml:space="preserve">Revenue Growth Rate</x:t>
  </x:si>
  <x:si>
    <x:t xml:space="preserve">Gross Profit Margin</x:t>
  </x:si>
  <x:si>
    <x:t xml:space="preserve">Tax Rate</x:t>
  </x:si>
  <x:si>
    <x:t xml:space="preserve">Memo: % Interest Earned on Cash</x:t>
  </x:si>
  <x:si>
    <x:t xml:space="preserve">Memo: % Interest Rate on Debt</x:t>
  </x:si>
  <x:si>
    <x:t xml:space="preserve">Cash and Equivalents</x:t>
  </x:si>
  <x:si>
    <x:t xml:space="preserve">Current Assets</x:t>
  </x:si>
  <x:si>
    <x:t xml:space="preserve">Property Plant &amp; Equipment</x:t>
  </x:si>
  <x:si>
    <x:t xml:space="preserve">Non Current Assets</x:t>
  </x:si>
  <x:si>
    <x:t xml:space="preserve">Total Assets</x:t>
  </x:si>
  <x:si>
    <x:t xml:space="preserve">Accrued Expenses and Other</x:t>
  </x:si>
  <x:si>
    <x:t xml:space="preserve">Other Current Liabilities</x:t>
  </x:si>
  <x:si>
    <x:t xml:space="preserve">Total Current Liabilities</x:t>
  </x:si>
  <x:si>
    <x:t xml:space="preserve">Other Liabilities</x:t>
  </x:si>
  <x:si>
    <x:t xml:space="preserve">Total Liabilities</x:t>
  </x:si>
  <x:si>
    <x:t xml:space="preserve">Other Comprehensive Income</x:t>
  </x:si>
  <x:si>
    <x:t xml:space="preserve">Retained Earnings</x:t>
  </x:si>
  <x:si>
    <x:t xml:space="preserve">Total Equity</x:t>
  </x:si>
  <x:si>
    <x:t xml:space="preserve">Balance Check</x:t>
  </x:si>
  <x:si>
    <x:t xml:space="preserve">Schedules</x:t>
  </x:si>
  <x:si>
    <x:t xml:space="preserve">New repurchases (buybacks)</x:t>
  </x:si>
  <x:si>
    <x:t xml:space="preserve">Dividends</x:t>
  </x:si>
  <x:si>
    <x:t xml:space="preserve">Purchases of Intangible Assets</x:t>
  </x:si>
</x:sst>
</file>

<file path=xl/styles.xml><?xml version="1.0" encoding="utf-8"?>
<x:styleSheet xmlns:x="http://schemas.openxmlformats.org/spreadsheetml/2006/main">
  <x:numFmts count="5">
    <x:numFmt numFmtId="164" formatCode="#,##0.0_);\(#,##0.0\)"/>
    <x:numFmt numFmtId="165" formatCode="0.0%"/>
    <x:numFmt numFmtId="166" formatCode="#,##0.0"/>
    <x:numFmt numFmtId="167" formatCode="0.0"/>
    <x:numFmt numFmtId="168" formatCode="0.0_);\(0.0\)"/>
  </x:numFmts>
  <x:fonts count="12">
    <x:font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Times New Roman"/>
    </x:font>
    <x:font>
      <x:b/>
      <x:sz val="12"/>
      <x:color theme="1"/>
      <x:name val="Times New Roman"/>
    </x:font>
    <x:font>
      <x:sz val="12"/>
      <x:color rgb="FF0070C0"/>
      <x:name val="Times New Roman"/>
    </x:font>
    <x:font>
      <x:i/>
      <x:sz val="12"/>
      <x:color theme="1"/>
      <x:name val="Times New Roman"/>
    </x:font>
    <x:font>
      <x:sz val="12"/>
      <x:name val="Times New Roman"/>
    </x:font>
    <x:font>
      <x:b/>
      <x:sz val="12"/>
      <x:name val="Times New Roman"/>
    </x:font>
    <x:font>
      <x:b/>
      <x:sz val="22"/>
      <x:color theme="1"/>
      <x:name val="Times New Roman"/>
    </x:font>
    <x:font>
      <x:b/>
      <x:sz val="26"/>
      <x:color theme="8" tint="-0.49995"/>
      <x:name val="Times New Roman"/>
    </x:font>
    <x:font>
      <x:sz val="26"/>
      <x:color theme="8" tint="-0.49995"/>
      <x:name val="Times New Roman"/>
    </x:font>
    <x:font>
      <x:sz val="14"/>
      <x:color theme="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4" tint="0.39998"/>
      </x:patternFill>
    </x:fill>
  </x:fills>
  <x:borders count="3">
    <x:border/>
    <x:border>
      <x:bottom style="medium">
        <x:color indexed="64"/>
      </x:bottom>
    </x:border>
    <x:border>
      <x:bottom style="thin">
        <x:color indexed="64"/>
      </x:bottom>
    </x:border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30">
    <x:xf numFmtId="0" fontId="0" fillId="0" borderId="0" xfId="0"/>
    <x:xf numFmtId="0" fontId="2" fillId="0" borderId="0" xfId="0" applyFont="1"/>
    <x:xf numFmtId="0" fontId="3" fillId="0" borderId="0" xfId="0" applyFont="1"/>
    <x:xf numFmtId="164" fontId="4" fillId="0" borderId="0" xfId="0" applyNumberFormat="1" applyFont="1"/>
    <x:xf numFmtId="164" fontId="2" fillId="0" borderId="0" xfId="0" applyNumberFormat="1" applyFont="1"/>
    <x:xf numFmtId="164" fontId="3" fillId="0" borderId="0" xfId="0" applyNumberFormat="1" applyFont="1"/>
    <x:xf numFmtId="0" fontId="3" fillId="0" borderId="1" xfId="0" applyFont="1" applyBorder="1"/>
    <x:xf numFmtId="165" fontId="2" fillId="0" borderId="0" xfId="1" applyNumberFormat="1" applyFont="1" applyFill="1"/>
    <x:xf numFmtId="165" fontId="2" fillId="0" borderId="0" xfId="0" applyNumberFormat="1" applyFont="1"/>
    <x:xf numFmtId="9" fontId="2" fillId="0" borderId="0" xfId="1" applyFont="1" applyFill="1"/>
    <x:xf numFmtId="164" fontId="2" fillId="2" borderId="0" xfId="0" applyNumberFormat="1" applyFont="1" applyFill="1"/>
    <x:xf numFmtId="0" fontId="5" fillId="0" borderId="0" xfId="0" applyFont="1"/>
    <x:xf numFmtId="166" fontId="4" fillId="0" borderId="0" xfId="0" applyNumberFormat="1" applyFont="1"/>
    <x:xf numFmtId="167" fontId="2" fillId="0" borderId="0" xfId="0" applyNumberFormat="1" applyFont="1"/>
    <x:xf numFmtId="0" fontId="3" fillId="0" borderId="2" xfId="0" applyFont="1" applyBorder="1"/>
    <x:xf numFmtId="164" fontId="3" fillId="0" borderId="2" xfId="0" applyNumberFormat="1" applyFont="1" applyBorder="1"/>
    <x:xf numFmtId="164" fontId="3" fillId="0" borderId="1" xfId="0" applyNumberFormat="1" applyFont="1" applyBorder="1"/>
    <x:xf numFmtId="166" fontId="3" fillId="0" borderId="2" xfId="0" applyNumberFormat="1" applyFont="1" applyBorder="1"/>
    <x:xf numFmtId="168" fontId="2" fillId="0" borderId="0" xfId="0" applyNumberFormat="1" applyFont="1"/>
    <x:xf numFmtId="168" fontId="3" fillId="0" borderId="0" xfId="0" applyNumberFormat="1" applyFont="1"/>
    <x:xf numFmtId="168" fontId="4" fillId="0" borderId="0" xfId="0" applyNumberFormat="1" applyFont="1"/>
    <x:xf numFmtId="168" fontId="6" fillId="0" borderId="0" xfId="0" applyNumberFormat="1" applyFont="1"/>
    <x:xf numFmtId="9" fontId="4" fillId="0" borderId="0" xfId="1" applyFont="1" applyFill="1"/>
    <x:xf numFmtId="0" fontId="6" fillId="3" borderId="0" xfId="0" applyFont="1" applyFill="1"/>
    <x:xf numFmtId="0" fontId="8" fillId="0" borderId="0" xfId="0" applyFont="1"/>
    <x:xf numFmtId="0" fontId="2" fillId="0" borderId="0" xfId="0" applyFont="1" applyAlignment="1">
      <x:alignment horizontal="centerContinuous"/>
    </x:xf>
    <x:xf numFmtId="0" fontId="9" fillId="0" borderId="0" xfId="0" applyFont="1" applyAlignment="1">
      <x:alignment horizontal="centerContinuous"/>
    </x:xf>
    <x:xf numFmtId="0" fontId="10" fillId="0" borderId="0" xfId="0" applyFont="1" applyAlignment="1">
      <x:alignment horizontal="centerContinuous"/>
    </x:xf>
    <x:xf numFmtId="0" fontId="11" fillId="0" borderId="0" xfId="0" applyFont="1" applyAlignment="1">
      <x:alignment horizontal="centerContinuous"/>
    </x:xf>
    <x:xf numFmtId="0" fontId="7" fillId="3" borderId="0" xfId="0" applyFont="1" applyFill="1" applyAlignment="1">
      <x:alignment horizontal="center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43afe79f74d47" /><Relationship Type="http://schemas.openxmlformats.org/officeDocument/2006/relationships/theme" Target="/xl/theme/theme1.xml" Id="Ra4fc5c97fc634aaa" /><Relationship Type="http://schemas.openxmlformats.org/officeDocument/2006/relationships/sharedStrings" Target="/xl/sharedStrings.xml" Id="R391edce2ad4d4519" /><Relationship Type="http://schemas.openxmlformats.org/officeDocument/2006/relationships/worksheet" Target="/xl/worksheets/sheet1.xml" Id="R74d586cff3e94b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640625" defaultRowHeight="16"/>
  <x:cols>
    <x:col min="1" max="1" width="9.1640625" style="1" customWidth="0"/>
    <x:col min="2" max="2" width="3.6640625" style="1" customWidth="1"/>
    <x:col min="3" max="3" width="45.1640625" style="1" customWidth="1"/>
    <x:col min="4" max="4" width="15" style="1" customWidth="1"/>
    <x:col min="5" max="5" width="11.83203125" style="1" customWidth="1"/>
    <x:col min="6" max="6" width="11.6640625" style="1" customWidth="1"/>
    <x:col min="7" max="7" width="19" style="1" customWidth="1"/>
    <x:col min="8" max="8" width="15" style="1" customWidth="1"/>
    <x:col min="9" max="9" width="14.83203125" style="1" customWidth="1"/>
    <x:col min="10" max="10" width="13.6640625" style="1" customWidth="1"/>
    <x:col min="11" max="11" width="18.1640625" style="1" customWidth="1"/>
    <x:col min="12" max="16384" width="9.1640625" style="1" customWidth="0"/>
  </x:cols>
  <x:sheetData>
    <x:row r="1">
      <x:c r="A1" s="1" t="s">
        <x:v>0</x:v>
      </x:c>
    </x:row>
    <x:row r="3" ht="33">
      <x:c r="C3" s="26" t="s">
        <x:v>1</x:v>
      </x:c>
      <x:c r="D3" s="27"/>
      <x:c r="E3" s="27"/>
      <x:c r="F3" s="27"/>
      <x:c r="G3" s="27"/>
      <x:c r="H3" s="27"/>
    </x:row>
    <x:row r="4" ht="18">
      <x:c r="C4" s="28" t="s">
        <x:v>2</x:v>
      </x:c>
      <x:c r="D4" s="25"/>
      <x:c r="E4" s="25"/>
      <x:c r="F4" s="25"/>
      <x:c r="G4" s="25"/>
      <x:c r="H4" s="25"/>
    </x:row>
    <x:row r="5">
      <x:c r="A5" s="1" t="str">
        <x:v>£ (GBP)</x:v>
      </x:c>
    </x:row>
    <x:row r="6">
      <x:c r="C6" s="23"/>
      <x:c r="D6" s="29" t="s">
        <x:v>3</x:v>
      </x:c>
      <x:c r="E6" s="29"/>
      <x:c r="F6" s="29" t="s">
        <x:v>4</x:v>
      </x:c>
      <x:c r="G6" s="29" t="s">
        <x:v>4</x:v>
      </x:c>
      <x:c r="H6" s="29"/>
      <x:c r="I6" s="29"/>
      <x:c r="J6" s="29"/>
      <x:c r="K6" s="29"/>
    </x:row>
    <x:row r="7">
      <x:c r="C7" s="23"/>
      <x:c r="D7" s="23" t="s">
        <x:v>5</x:v>
      </x:c>
      <x:c r="E7" s="23" t="s">
        <x:v>6</x:v>
      </x:c>
      <x:c r="F7" s="23">
        <x:v>2027</x:v>
      </x:c>
      <x:c r="G7" s="23">
        <x:v>2028</x:v>
      </x:c>
      <x:c r="H7" s="23" t="n">
        <x:f t="shared" ref="H7:K7" si="0">G7+1</x:f>
        <x:v>2029</x:v>
      </x:c>
      <x:c r="I7" s="23">
        <x:f t="shared" si="0"/>
        <x:v>2030</x:v>
      </x:c>
      <x:c r="J7" s="23">
        <x:f t="shared" si="0"/>
        <x:v>2031</x:v>
      </x:c>
      <x:c r="K7" s="23">
        <x:f t="shared" si="0"/>
        <x:v>2032</x:v>
      </x:c>
    </x:row>
    <x:row r="8" ht="28">
      <x:c r="B8" s="1" t="s">
        <x:v>7</x:v>
      </x:c>
      <x:c r="C8" s="24" t="str">
        <x:v>Statement of Profit or Loss</x:v>
      </x:c>
    </x:row>
    <x:row r="10">
      <x:c r="C10" s="1" t="s">
        <x:v>8</x:v>
      </x:c>
      <x:c r="D10" s="3">
        <x:v>846000</x:v>
      </x:c>
      <x:c r="E10" s="3">
        <x:v>861500</x:v>
      </x:c>
      <x:c r="F10" s="3" t="n">
        <x:f>E10*(1+F24)</x:f>
        <x:v>913190</x:v>
      </x:c>
      <x:c r="G10" s="4" t="n">
        <x:f>F10*(1+G24)</x:f>
        <x:v>967981.4</x:v>
      </x:c>
      <x:c r="H10" s="4" t="n">
        <x:f t="shared" ref="H10:K10" si="1">G10*(1+H24)</x:f>
        <x:v>1021220.377</x:v>
      </x:c>
      <x:c r="I10" s="4" t="n">
        <x:f t="shared" si="1">H10*(1+I24)</x:f>
        <x:v>1077387.497735</x:v>
      </x:c>
      <x:c r="J10" s="4" t="n">
        <x:f t="shared" si="1">I10*(1+J24)</x:f>
        <x:v>1136643.8101104249</x:v>
      </x:c>
      <x:c r="K10" s="4" t="n">
        <x:f t="shared" si="1">J10*(1+K24)</x:f>
        <x:v>1199159.2196664982</x:v>
      </x:c>
    </x:row>
    <x:row r="11">
      <x:c r="C11" s="1" t="str">
        <x:v>Cost of Sales</x:v>
      </x:c>
      <x:c r="D11" s="3">
        <x:v>-380100</x:v>
      </x:c>
      <x:c r="E11" s="3">
        <x:v>-385560</x:v>
      </x:c>
      <x:c r="F11" s="3" t="n">
        <x:f ca="1">-F10*(1-F25)</x:f>
        <x:v>-408693.6</x:v>
      </x:c>
      <x:c r="G11" s="4" t="n">
        <x:f>-G10*(1-G25)</x:f>
        <x:v>-433215.21599999996</x:v>
      </x:c>
      <x:c r="H11" s="4" t="n">
        <x:f>-H10*(1-H25)</x:f>
        <x:v>-457042.05288</x:v>
      </x:c>
      <x:c r="I11" s="4" t="n">
        <x:f t="shared" ref="I11:K11" si="2">-I10*(1-I25)</x:f>
        <x:v>-482179.36578839994</x:v>
      </x:c>
      <x:c r="J11" s="4" t="n">
        <x:f t="shared" si="2">-J10*(1-J25)</x:f>
        <x:v>-508699.2309067619</x:v>
      </x:c>
      <x:c r="K11" s="4" t="n">
        <x:f t="shared" si="2">-K10*(1-K25)</x:f>
        <x:v>-536677.6886066338</x:v>
      </x:c>
    </x:row>
    <x:row r="12">
      <x:c r="C12" s="1" t="s">
        <x:v>9</x:v>
      </x:c>
      <x:c r="D12" s="3">
        <x:v>-162900</x:v>
      </x:c>
      <x:c r="E12" s="3">
        <x:v>-165240</x:v>
      </x:c>
      <x:c r="F12" s="3" t="n">
        <x:f ca="1">-F10*F26</x:f>
        <x:v>-175154.4</x:v>
      </x:c>
      <x:c r="G12" s="4" t="n">
        <x:f>-G10*G26</x:f>
        <x:v>-185663.66400000002</x:v>
      </x:c>
      <x:c r="H12" s="4" t="n">
        <x:f t="shared" ref="H12:K12" si="3">-H10*H26</x:f>
        <x:v>-195875.16552</x:v>
      </x:c>
      <x:c r="I12" s="4" t="n">
        <x:f t="shared" si="3">-I10*I26</x:f>
        <x:v>-206648.2996236</x:v>
      </x:c>
      <x:c r="J12" s="4" t="n">
        <x:f t="shared" si="3">-J10*J26</x:f>
        <x:v>-218013.956102898</x:v>
      </x:c>
      <x:c r="K12" s="4" t="n">
        <x:f t="shared" si="3">-K10*K26</x:f>
        <x:v>-230004.72368855737</x:v>
      </x:c>
    </x:row>
    <x:row r="13">
      <x:c r="C13" s="1" t="str">
        <x:v>Operating Profit / EBIT</x:v>
      </x:c>
      <x:c r="D13" s="5">
        <x:v>303000</x:v>
      </x:c>
      <x:c r="E13" s="5" t="n">
        <x:f t="shared" ref="E13:F13" si="4">E10+E11+E12</x:f>
        <x:v>310700</x:v>
      </x:c>
      <x:c r="F13" s="5" t="n">
        <x:f t="shared" ca="1" si="4">SUM(F10:F12)</x:f>
        <x:v>329342</x:v>
      </x:c>
      <x:c r="G13" s="5" t="n">
        <x:f t="shared" ref="G13" si="5">SUM(G10:G12)</x:f>
        <x:v>349102.52000000014</x:v>
      </x:c>
      <x:c r="H13" s="5" t="n">
        <x:f t="shared" ref="H13" si="6">SUM(H10:H12)</x:f>
        <x:v>368303.15859999997</x:v>
      </x:c>
      <x:c r="I13" s="5" t="n">
        <x:f t="shared" ref="I13" si="7">SUM(I10:I12)</x:f>
        <x:v>388559.83232300007</x:v>
      </x:c>
      <x:c r="J13" s="5" t="n">
        <x:f t="shared" ref="J13" si="8">SUM(J10:J12)</x:f>
        <x:v>409930.62310076493</x:v>
      </x:c>
      <x:c r="K13" s="5" t="n">
        <x:f t="shared" ref="K13" si="9">SUM(K10:K12)</x:f>
        <x:v>432476.80737130705</x:v>
      </x:c>
    </x:row>
    <x:row r="14">
      <x:c r="D14"/>
      <x:c r="E14"/>
    </x:row>
    <x:row r="15">
      <x:c r="C15" s="1" t="s">
        <x:v>10</x:v>
      </x:c>
      <x:c r="D15" s="3">
        <x:v>0</x:v>
      </x:c>
      <x:c r="E15" s="3">
        <x:v>0</x:v>
      </x:c>
      <x:c r="F15" s="3" t="n">
        <x:f>F37*E42</x:f>
        <x:v>7000</x:v>
      </x:c>
      <x:c r="G15" s="10" t="n">
        <x:f ca="1">G37*F42</x:f>
        <x:v>11751.786640000002</x:v>
      </x:c>
      <x:c r="H15" s="10" t="n">
        <x:f t="shared" ref="H15:K15" ca="1" si="10">H37*G42</x:f>
        <x:v>17086.513781968002</x:v>
      </x:c>
      <x:c r="I15" s="10" t="n">
        <x:f t="shared" ca="1" si="10">I37*H42</x:f>
        <x:v>22802.596181347883</x:v>
      </x:c>
      <x:c r="J15" s="10" t="n">
        <x:f t="shared" ca="1" si="10">J37*I42</x:f>
        <x:v>28913.467313783876</x:v>
      </x:c>
      <x:c r="K15" s="10" t="n">
        <x:f t="shared" ca="1" si="10">K37*J42</x:f>
        <x:v>35442.14310765173</x:v>
      </x:c>
    </x:row>
    <x:row r="16">
      <x:c r="C16" s="1" t="s">
        <x:v>11</x:v>
      </x:c>
      <x:c r="D16" s="3">
        <x:v>0</x:v>
      </x:c>
      <x:c r="E16" s="3">
        <x:v>0</x:v>
      </x:c>
      <x:c r="F16" s="3" t="n">
        <x:f>-F38*SUM(E59:E60)</x:f>
        <x:v>-3250</x:v>
      </x:c>
      <x:c r="G16" s="10" t="n">
        <x:f>-G38*SUM(F59:F60)</x:f>
        <x:v>-3250</x:v>
      </x:c>
      <x:c r="H16" s="10" t="n">
        <x:f t="shared" ref="H16:K16" si="11">-H38*SUM(G59:G60)</x:f>
        <x:v>-3250</x:v>
      </x:c>
      <x:c r="I16" s="10" t="n">
        <x:f t="shared" si="11">-I38*SUM(H59:H60)</x:f>
        <x:v>-3250</x:v>
      </x:c>
      <x:c r="J16" s="10" t="n">
        <x:f t="shared" si="11">-J38*SUM(I59:I60)</x:f>
        <x:v>-3250</x:v>
      </x:c>
      <x:c r="K16" s="10" t="n">
        <x:f t="shared" si="11">-K38*SUM(J59:J60)</x:f>
        <x:v>-3250</x:v>
      </x:c>
    </x:row>
    <x:row r="17">
      <x:c r="C17" s="1" t="str">
        <x:v>Profit Before Tax</x:v>
      </x:c>
      <x:c r="D17" s="5">
        <x:v>303000</x:v>
      </x:c>
      <x:c r="E17" s="5" t="n">
        <x:f t="shared" ref="E17:F17" si="12">E13+SUM(E15,E16)</x:f>
        <x:v>310700</x:v>
      </x:c>
      <x:c r="F17" s="5" t="n">
        <x:f t="shared" ca="1" si="12">SUM(F13,F15:F16)</x:f>
        <x:v>333092</x:v>
      </x:c>
      <x:c r="G17" s="5" t="n">
        <x:f t="shared" ref="G17" ca="1" si="13">SUM(G13,G15:G16)</x:f>
        <x:v>357604.30664000014</x:v>
      </x:c>
      <x:c r="H17" s="5" t="n">
        <x:f t="shared" ref="H17" ca="1" si="14">SUM(H13,H15:H16)</x:f>
        <x:v>382139.67238196795</x:v>
      </x:c>
      <x:c r="I17" s="5" t="n">
        <x:f t="shared" ref="I17" ca="1" si="15">SUM(I13,I15:I16)</x:f>
        <x:v>408112.428504348</x:v>
      </x:c>
      <x:c r="J17" s="5" t="n">
        <x:f t="shared" ref="J17" ca="1" si="16">SUM(J13,J15:J16)</x:f>
        <x:v>435594.0904145488</x:v>
      </x:c>
      <x:c r="K17" s="5" t="n">
        <x:f t="shared" ref="K17" ca="1" si="17">SUM(K13,K15:K16)</x:f>
        <x:v>464668.9504789588</x:v>
      </x:c>
    </x:row>
    <x:row r="18">
      <x:c r="D18"/>
      <x:c r="E18"/>
    </x:row>
    <x:row r="19">
      <x:c r="C19" s="1" t="s">
        <x:v>12</x:v>
      </x:c>
      <x:c r="D19" s="3">
        <x:v>0</x:v>
      </x:c>
      <x:c r="E19" s="3">
        <x:v>0</x:v>
      </x:c>
      <x:c r="F19" s="3" t="n">
        <x:f ca="1">-MAX(0,F17*F27)</x:f>
        <x:v>-63287.48</x:v>
      </x:c>
      <x:c r="G19" s="4" t="n">
        <x:f ca="1">-MAX(0,G17*G27)</x:f>
        <x:v>-67944.81826160003</x:v>
      </x:c>
      <x:c r="H19" s="4" t="n">
        <x:f t="shared" ref="H19:K19" ca="1" si="18">-MAX(0,H17*H27)</x:f>
        <x:v>-72606.53775257392</x:v>
      </x:c>
      <x:c r="I19" s="4" t="n">
        <x:f t="shared" ca="1" si="18">-MAX(0,I17*I27)</x:f>
        <x:v>-77541.36141582612</x:v>
      </x:c>
      <x:c r="J19" s="4" t="n">
        <x:f t="shared" ca="1" si="18">-MAX(0,J17*J27)</x:f>
        <x:v>-82762.87717876428</x:v>
      </x:c>
      <x:c r="K19" s="4" t="n">
        <x:f t="shared" ca="1" si="18">-MAX(0,K17*K27)</x:f>
        <x:v>-88287.10059100216</x:v>
      </x:c>
    </x:row>
    <x:row r="20">
      <x:c r="C20" s="1" t="str">
        <x:v>Profit for the Year</x:v>
      </x:c>
      <x:c r="D20" s="5">
        <x:v>303000</x:v>
      </x:c>
      <x:c r="E20" s="5" t="n">
        <x:f t="shared" ref="E20:F20" si="19">E17+E19</x:f>
        <x:v>310700</x:v>
      </x:c>
      <x:c r="F20" s="5" t="n">
        <x:f t="shared" ca="1" si="19">SUM(F17,F19)</x:f>
        <x:v>269804.52</x:v>
      </x:c>
      <x:c r="G20" s="5" t="n">
        <x:f t="shared" ref="G20" ca="1" si="20">SUM(G17,G19)</x:f>
        <x:v>289659.4883784001</x:v>
      </x:c>
      <x:c r="H20" s="5" t="n">
        <x:f t="shared" ref="H20" ca="1" si="21">SUM(H17,H19)</x:f>
        <x:v>309533.13462939404</x:v>
      </x:c>
      <x:c r="I20" s="5" t="n">
        <x:f t="shared" ref="I20" ca="1" si="22">SUM(I17,I19)</x:f>
        <x:v>330571.06708852184</x:v>
      </x:c>
      <x:c r="J20" s="5" t="n">
        <x:f t="shared" ref="J20" ca="1" si="23">SUM(J17,J19)</x:f>
        <x:v>352831.21323578455</x:v>
      </x:c>
      <x:c r="K20" s="5" t="n">
        <x:f t="shared" ref="K20" ca="1" si="24">SUM(K17,K19)</x:f>
        <x:v>376381.84988795663</x:v>
      </x:c>
    </x:row>
    <x:row r="23">
      <x:c r="C23" s="6" t="str">
        <x:v>Margins / Growth Rates</x:v>
      </x:c>
    </x:row>
    <x:row r="24">
      <x:c r="C24" s="1" t="s">
        <x:v>13</x:v>
      </x:c>
      <x:c r="D24"/>
      <x:c r="E24" s="7">
        <x:v>1.8321513002364176E-2</x:v>
      </x:c>
      <x:c r="F24" s="7" t="n">
        <x:v>0.06</x:v>
      </x:c>
      <x:c r="G24" s="8" t="n">
        <x:v>0.06</x:v>
      </x:c>
      <x:c r="H24" s="8" t="n">
        <x:v>0.055</x:v>
      </x:c>
      <x:c r="I24" s="8" t="n">
        <x:f t="shared" ref="I24:K24" si="25">H24</x:f>
        <x:v>0.055</x:v>
      </x:c>
      <x:c r="J24" s="8" t="n">
        <x:f t="shared" si="25"/>
        <x:v>0.055</x:v>
      </x:c>
      <x:c r="K24" s="8" t="n">
        <x:f t="shared" si="25"/>
        <x:v>0.055</x:v>
      </x:c>
    </x:row>
    <x:row r="25">
      <x:c r="C25" s="1" t="s">
        <x:v>14</x:v>
      </x:c>
      <x:c r="D25" s="7">
        <x:v>0.55070921985815602</x:v>
      </x:c>
      <x:c r="E25" s="7" t="n">
        <x:f t="shared" ref="E25:F25" si="26">1+(E11/E10)</x:f>
        <x:v>0.5524550203134069</x:v>
      </x:c>
      <x:c r="F25" s="7" t="n">
        <x:f t="shared" ca="1" si="26">$E$25</x:f>
        <x:v>0.5524550203134069</x:v>
      </x:c>
      <x:c r="G25" s="8" t="n">
        <x:f>$E$25</x:f>
        <x:v>0.5524550203134069</x:v>
      </x:c>
      <x:c r="H25" s="8" t="n">
        <x:f>$E$25</x:f>
        <x:v>0.5524550203134069</x:v>
      </x:c>
      <x:c r="I25" s="8" t="n">
        <x:f t="shared" ref="I25:K25" si="27">$E$25</x:f>
        <x:v>0.5524550203134069</x:v>
      </x:c>
      <x:c r="J25" s="8" t="n">
        <x:f t="shared" si="27">$E$25</x:f>
        <x:v>0.5524550203134069</x:v>
      </x:c>
      <x:c r="K25" s="8" t="n">
        <x:f t="shared" si="27">$E$25</x:f>
        <x:v>0.5524550203134069</x:v>
      </x:c>
    </x:row>
    <x:row r="26">
      <x:c r="C26" s="1" t="str">
        <x:v>Operating Expenses as % of Revenue</x:v>
      </x:c>
      <x:c r="D26" s="7">
        <x:v>0.1925531914893617</x:v>
      </x:c>
      <x:c r="E26" s="7" t="n">
        <x:f t="shared" ref="E26:F26" si="28">-E12/E10</x:f>
        <x:v>0.1918049912942542</x:v>
      </x:c>
      <x:c r="F26" s="7" t="n">
        <x:f t="shared" ca="1" si="28">$E$26</x:f>
        <x:v>0.1918049912942542</x:v>
      </x:c>
      <x:c r="G26" s="8" t="n">
        <x:f>$E$26</x:f>
        <x:v>0.1918049912942542</x:v>
      </x:c>
      <x:c r="H26" s="8" t="n">
        <x:f>$E$26</x:f>
        <x:v>0.1918049912942542</x:v>
      </x:c>
      <x:c r="I26" s="8" t="n">
        <x:f t="shared" ref="I26:K26" si="29">$E$26</x:f>
        <x:v>0.1918049912942542</x:v>
      </x:c>
      <x:c r="J26" s="8" t="n">
        <x:f t="shared" si="29">$E$26</x:f>
        <x:v>0.1918049912942542</x:v>
      </x:c>
      <x:c r="K26" s="8" t="n">
        <x:f t="shared" si="29">$E$26</x:f>
        <x:v>0.1918049912942542</x:v>
      </x:c>
    </x:row>
    <x:row r="27">
      <x:c r="C27" s="1" t="s">
        <x:v>15</x:v>
      </x:c>
      <x:c r="D27" s="7">
        <x:v>0</x:v>
      </x:c>
      <x:c r="E27" s="7" t="n">
        <x:f t="shared" ref="E27:F27" si="30">-E19/E17</x:f>
        <x:v>0</x:v>
      </x:c>
      <x:c r="F27" s="7" t="n">
        <x:f t="shared" ca="1" si="30"/>
        <x:v>0.19</x:v>
      </x:c>
      <x:c r="G27" s="8" t="n">
        <x:v>0.19</x:v>
      </x:c>
      <x:c r="H27" s="8" t="n">
        <x:v>0.19</x:v>
      </x:c>
      <x:c r="I27" s="8" t="n">
        <x:f t="shared" ref="I27:K27" si="31">H27</x:f>
        <x:v>0.19</x:v>
      </x:c>
      <x:c r="J27" s="8" t="n">
        <x:f t="shared" si="31"/>
        <x:v>0.19</x:v>
      </x:c>
      <x:c r="K27" s="8" t="n">
        <x:f t="shared" si="31"/>
        <x:v>0.19</x:v>
      </x:c>
    </x:row>
    <x:row r="28">
      <x:c r="D28" s="7"/>
      <x:c r="E28" s="7"/>
      <x:c r="F28" s="7"/>
      <x:c r="G28" s="8"/>
      <x:c r="H28" s="8"/>
      <x:c r="I28" s="8"/>
      <x:c r="J28" s="8"/>
      <x:c r="K28" s="8"/>
    </x:row>
    <x:row r="29">
      <x:c r="C29" s="11" t="str">
        <x:v>Memo: Cost of Sales Growth Rate</x:v>
      </x:c>
      <x:c r="D29" s="9">
        <x:f t="shared" ref="D29" si="32">(D11-C11)/C11</x:f>
      </x:c>
      <x:c r="E29" s="9" t="n">
        <x:f>-E11/-D11-1</x:f>
        <x:v>0.01436464088397793</x:v>
      </x:c>
      <x:c r="F29" s="9" t="n">
        <x:f t="shared" ref="F29:K29" ca="1" si="33">-F11/-E11-1</x:f>
        <x:v>0.05999999999999983</x:v>
      </x:c>
      <x:c r="G29" s="9" t="n">
        <x:f t="shared" ca="1" si="33">-G11/-F11-1</x:f>
        <x:v>0.06000000000000005</x:v>
      </x:c>
      <x:c r="H29" s="9" t="n">
        <x:f t="shared" si="33">-H11/-G11-1</x:f>
        <x:v>0.05499999999999994</x:v>
      </x:c>
      <x:c r="I29" s="9" t="n">
        <x:f t="shared" si="33">-I11/-H11-1</x:f>
        <x:v>0.05499999999999994</x:v>
      </x:c>
      <x:c r="J29" s="9" t="n">
        <x:f t="shared" si="33">-J11/-I11-1</x:f>
        <x:v>0.05499999999999994</x:v>
      </x:c>
      <x:c r="K29" s="9" t="n">
        <x:f t="shared" si="33">-K11/-J11-1</x:f>
        <x:v>0.05499999999999994</x:v>
      </x:c>
    </x:row>
    <x:row r="30">
      <x:c r="C30" s="11"/>
      <x:c r="D30" s="9"/>
      <x:c r="E30" s="9"/>
      <x:c r="F30" s="9"/>
      <x:c r="G30" s="9"/>
      <x:c r="H30" s="9"/>
      <x:c r="I30" s="9"/>
      <x:c r="J30" s="9"/>
      <x:c r="K30" s="9"/>
    </x:row>
    <x:row r="31">
      <x:c r="C31" s="11" t="str">
        <x:v>Memo: Depreciation in Operating Expenses and Cost of Sales</x:v>
      </x:c>
      <x:c r="D31" s="3">
        <x:v>-18000</x:v>
      </x:c>
      <x:c r="E31" s="3">
        <x:v>-20000</x:v>
      </x:c>
      <x:c r="F31" s="3" t="n">
        <x:f>-F10*2.5%</x:f>
        <x:v>-22829.75</x:v>
      </x:c>
      <x:c r="G31" s="4" t="n">
        <x:f>-G10*2.5%</x:f>
        <x:v>-24199.535000000003</x:v>
      </x:c>
      <x:c r="H31" s="4" t="n">
        <x:f t="shared" ref="H31:K31" si="34">-H10*2.5%</x:f>
        <x:v>-25530.509425</x:v>
      </x:c>
      <x:c r="I31" s="4" t="n">
        <x:f t="shared" si="34">-I10*2.5%</x:f>
        <x:v>-26934.687443375</x:v>
      </x:c>
      <x:c r="J31" s="4" t="n">
        <x:f t="shared" si="34">-J10*2.5%</x:f>
        <x:v>-28416.095252760624</x:v>
      </x:c>
      <x:c r="K31" s="4" t="n">
        <x:f t="shared" si="34">-K10*2.5%</x:f>
        <x:v>-29978.980491662456</x:v>
      </x:c>
    </x:row>
    <x:row r="32">
      <x:c r="C32" s="11" t="str">
        <x:v>Memo: Capital Expenditure</x:v>
      </x:c>
      <x:c r="D32" s="3">
        <x:v>-30000</x:v>
      </x:c>
      <x:c r="E32" s="3">
        <x:v>-32000</x:v>
      </x:c>
      <x:c r="F32" s="3" t="n">
        <x:f>-F10*4.0%</x:f>
        <x:v>-36527.6</x:v>
      </x:c>
      <x:c r="G32" s="4" t="n">
        <x:f>-G10*4.0%</x:f>
        <x:v>-38719.256</x:v>
      </x:c>
      <x:c r="H32" s="4" t="n">
        <x:f t="shared" ref="H32:K32" si="35">-H10*4.0%</x:f>
        <x:v>-40848.81508</x:v>
      </x:c>
      <x:c r="I32" s="4" t="n">
        <x:f t="shared" si="35">-I10*4.0%</x:f>
        <x:v>-43095.4999094</x:v>
      </x:c>
      <x:c r="J32" s="4" t="n">
        <x:f t="shared" si="35">-J10*4.0%</x:f>
        <x:v>-45465.752404417</x:v>
      </x:c>
      <x:c r="K32" s="4" t="n">
        <x:f t="shared" si="35">-K10*4.0%</x:f>
        <x:v>-47966.36878665993</x:v>
      </x:c>
    </x:row>
    <x:row r="33">
      <x:c r="C33" s="11"/>
      <x:c r="D33" s="3"/>
      <x:c r="E33" s="3"/>
      <x:c r="F33" s="3"/>
      <x:c r="G33" s="4"/>
      <x:c r="H33" s="4"/>
      <x:c r="I33" s="4"/>
      <x:c r="J33" s="4"/>
      <x:c r="K33" s="4"/>
    </x:row>
    <x:row r="34">
      <x:c r="C34" s="11" t="str">
        <x:v>Memo: Amortisation in Operating Expenses and Cost of Sales</x:v>
      </x:c>
      <x:c r="D34" s="3">
        <x:v>-3000</x:v>
      </x:c>
      <x:c r="E34" s="3">
        <x:v>-3500</x:v>
      </x:c>
      <x:c r="F34" s="3" t="n">
        <x:f t="shared" ref="F34:K34" si="36">-F10*0.5%</x:f>
        <x:v>-4565.95</x:v>
      </x:c>
      <x:c r="G34" s="4" t="n">
        <x:f t="shared" si="36">-G10*0.5%</x:f>
        <x:v>-4839.907</x:v>
      </x:c>
      <x:c r="H34" s="4" t="n">
        <x:f t="shared" si="36">-H10*0.5%</x:f>
        <x:v>-5106.101885</x:v>
      </x:c>
      <x:c r="I34" s="4" t="n">
        <x:f t="shared" si="36">-I10*0.5%</x:f>
        <x:v>-5386.937488675</x:v>
      </x:c>
      <x:c r="J34" s="4" t="n">
        <x:f t="shared" si="36">-J10*0.5%</x:f>
        <x:v>-5683.219050552125</x:v>
      </x:c>
      <x:c r="K34" s="4" t="n">
        <x:f t="shared" si="36">-K10*0.5%</x:f>
        <x:v>-5995.796098332491</x:v>
      </x:c>
    </x:row>
    <x:row r="35">
      <x:c r="C35" s="11" t="str">
        <x:v>Memo: Purchases of Intangible Assets</x:v>
      </x:c>
      <x:c r="D35" s="3">
        <x:v>-5000</x:v>
      </x:c>
      <x:c r="E35" s="3">
        <x:v>-6000</x:v>
      </x:c>
      <x:c r="F35" s="3" t="n">
        <x:f>-F10*0.8%</x:f>
        <x:v>-7305.52</x:v>
      </x:c>
      <x:c r="G35" s="4" t="n">
        <x:f>-G10*0.8%</x:f>
        <x:v>-7743.8512</x:v>
      </x:c>
      <x:c r="H35" s="4" t="n">
        <x:f t="shared" ref="H35:J35" si="37">-H10*0.8%</x:f>
        <x:v>-8169.763016</x:v>
      </x:c>
      <x:c r="I35" s="4" t="n">
        <x:f t="shared" si="37">-I10*0.8%</x:f>
        <x:v>-8619.09998188</x:v>
      </x:c>
      <x:c r="J35" s="4" t="n">
        <x:f t="shared" si="37">-J10*0.8%</x:f>
        <x:v>-9093.1504808834</x:v>
      </x:c>
      <x:c r="K35" s="4" t="n">
        <x:f>-K10*0.8%</x:f>
        <x:v>-9593.273757331986</x:v>
      </x:c>
    </x:row>
    <x:row r="36">
      <x:c r="C36" s="11"/>
      <x:c r="D36" s="3"/>
      <x:c r="E36" s="3"/>
      <x:c r="F36" s="3"/>
      <x:c r="G36" s="4"/>
      <x:c r="H36" s="4"/>
      <x:c r="I36" s="4"/>
      <x:c r="J36" s="4"/>
      <x:c r="K36" s="4"/>
    </x:row>
    <x:row r="37">
      <x:c r="C37" s="11" t="s">
        <x:v>16</x:v>
      </x:c>
      <x:c r="D37" s="3">
        <x:v>0</x:v>
      </x:c>
      <x:c r="E37" s="3">
        <x:v>0.02</x:v>
      </x:c>
      <x:c r="F37" s="3" t="n">
        <x:v>0.02</x:v>
      </x:c>
      <x:c r="G37" s="22" t="n">
        <x:v>0.02</x:v>
      </x:c>
      <x:c r="H37" s="22" t="n">
        <x:v>0.02</x:v>
      </x:c>
      <x:c r="I37" s="22" t="n">
        <x:v>0.02</x:v>
      </x:c>
      <x:c r="J37" s="22" t="n">
        <x:v>0.02</x:v>
      </x:c>
      <x:c r="K37" s="22" t="n">
        <x:v>0.02</x:v>
      </x:c>
    </x:row>
    <x:row r="38">
      <x:c r="C38" s="11" t="s">
        <x:v>17</x:v>
      </x:c>
      <x:c r="D38" s="9">
        <x:v>0</x:v>
      </x:c>
      <x:c r="E38" s="9">
        <x:v>0.05</x:v>
      </x:c>
      <x:c r="F38" s="9" t="n">
        <x:v>0.05</x:v>
      </x:c>
      <x:c r="G38" s="22" t="n">
        <x:v>0.05</x:v>
      </x:c>
      <x:c r="H38" s="22" t="n">
        <x:v>0.05</x:v>
      </x:c>
      <x:c r="I38" s="22" t="n">
        <x:v>0.05</x:v>
      </x:c>
      <x:c r="J38" s="22" t="n">
        <x:v>0.05</x:v>
      </x:c>
      <x:c r="K38" s="22" t="n">
        <x:v>0.05</x:v>
      </x:c>
    </x:row>
    <x:row r="39">
      <x:c r="D39" s="9"/>
      <x:c r="E39" s="9"/>
      <x:c r="F39" s="9"/>
      <x:c r="G39" s="9"/>
      <x:c r="H39" s="9"/>
      <x:c r="I39" s="9"/>
      <x:c r="J39" s="9"/>
      <x:c r="K39" s="9"/>
    </x:row>
    <x:row r="41" ht="28">
      <x:c r="B41" s="1" t="s">
        <x:v>7</x:v>
      </x:c>
      <x:c r="C41" s="24" t="str">
        <x:v>Statement of Financial Position</x:v>
      </x:c>
    </x:row>
    <x:row r="42">
      <x:c r="C42" s="1" t="s">
        <x:v>18</x:v>
      </x:c>
      <x:c r="D42" s="3">
        <x:v>343000</x:v>
      </x:c>
      <x:c r="E42" s="3">
        <x:v>350000</x:v>
      </x:c>
      <x:c r="F42" s="3" t="n">
        <x:f ca="1">F121</x:f>
        <x:v>587589.332</x:v>
      </x:c>
      <x:c r="G42" s="4" t="n">
        <x:f ca="1">G121</x:f>
        <x:v>854325.6890984002</x:v>
      </x:c>
      <x:c r="H42" s="4" t="n">
        <x:f ca="1">H121</x:f>
        <x:v>1140129.8090673941</x:v>
      </x:c>
      <x:c r="I42" s="4" t="n">
        <x:f ca="1">I121</x:f>
        <x:v>1445673.3656891938</x:v>
      </x:c>
      <x:c r="J42" s="4" t="n">
        <x:f t="shared" ref="J42:K42" ca="1" si="38">J121</x:f>
        <x:v>1772107.1553825866</x:v>
      </x:c>
      <x:c r="K42" s="4" t="n">
        <x:f t="shared" ca="1" si="38">K121</x:f>
        <x:v>2120646.32343332</x:v>
      </x:c>
    </x:row>
    <x:row r="43">
      <x:c r="C43" s="1" t="str">
        <x:v>Trade Receivables</x:v>
      </x:c>
      <x:c r="D43" s="3">
        <x:v>65000</x:v>
      </x:c>
      <x:c r="E43" s="3">
        <x:v>68000</x:v>
      </x:c>
      <x:c r="F43" s="3" t="n">
        <x:f>F10*8%</x:f>
        <x:v>73055.2</x:v>
      </x:c>
      <x:c r="G43" s="4" t="n">
        <x:f>G10*8%</x:f>
        <x:v>77438.512</x:v>
      </x:c>
      <x:c r="H43" s="4" t="n">
        <x:f t="shared" ref="H43:K43" si="39">H10*8%</x:f>
        <x:v>81697.63016</x:v>
      </x:c>
      <x:c r="I43" s="4" t="n">
        <x:f t="shared" si="39">I10*8%</x:f>
        <x:v>86190.9998188</x:v>
      </x:c>
      <x:c r="J43" s="4" t="n">
        <x:f t="shared" si="39">J10*8%</x:f>
        <x:v>90931.504808834</x:v>
      </x:c>
      <x:c r="K43" s="4" t="n">
        <x:f t="shared" si="39">K10*8%</x:f>
        <x:v>95932.73757331986</x:v>
      </x:c>
    </x:row>
    <x:row r="44">
      <x:c r="C44" s="1" t="str">
        <x:v>Inventories</x:v>
      </x:c>
      <x:c r="D44" s="3">
        <x:v>90000</x:v>
      </x:c>
      <x:c r="E44" s="3">
        <x:v>95000</x:v>
      </x:c>
      <x:c r="F44" s="3" t="n">
        <x:f ca="1">-F11*25%</x:f>
        <x:v>102173.4</x:v>
      </x:c>
      <x:c r="G44" s="4" t="n">
        <x:f>-G11*25%</x:f>
        <x:v>108303.80399999999</x:v>
      </x:c>
      <x:c r="H44" s="4" t="n">
        <x:f t="shared" ref="H44:K44" si="40">-H11*25%</x:f>
        <x:v>114260.51322</x:v>
      </x:c>
      <x:c r="I44" s="4" t="n">
        <x:f t="shared" si="40">-I11*25%</x:f>
        <x:v>120544.84144709999</x:v>
      </x:c>
      <x:c r="J44" s="4" t="n">
        <x:f t="shared" si="40">-J11*25%</x:f>
        <x:v>127174.80772669047</x:v>
      </x:c>
      <x:c r="K44" s="4" t="n">
        <x:f t="shared" si="40">-K11*25%</x:f>
        <x:v>134169.42215165845</x:v>
      </x:c>
    </x:row>
    <x:row r="45">
      <x:c r="C45" s="1" t="str">
        <x:v>Prepayments and Other Working Capital Assets</x:v>
      </x:c>
      <x:c r="D45" s="3">
        <x:v>12000</x:v>
      </x:c>
      <x:c r="E45" s="3">
        <x:v>13000</x:v>
      </x:c>
      <x:c r="F45" s="3" t="n">
        <x:f>F10*1.5%</x:f>
        <x:v>13697.85</x:v>
      </x:c>
      <x:c r="G45" s="4" t="n">
        <x:f>G10*1.5%</x:f>
        <x:v>14519.721</x:v>
      </x:c>
      <x:c r="H45" s="4" t="n">
        <x:f t="shared" ref="H45:K45" si="41">H10*1.5%</x:f>
        <x:v>15318.305654999998</x:v>
      </x:c>
      <x:c r="I45" s="4" t="n">
        <x:f t="shared" si="41">I10*1.5%</x:f>
        <x:v>16160.812466025</x:v>
      </x:c>
      <x:c r="J45" s="4" t="n">
        <x:f t="shared" si="41">J10*1.5%</x:f>
        <x:v>17049.65715165637</x:v>
      </x:c>
      <x:c r="K45" s="4" t="n">
        <x:f t="shared" si="41">K10*1.5%</x:f>
        <x:v>17987.388294997472</x:v>
      </x:c>
    </x:row>
    <x:row r="46">
      <x:c r="C46" s="14" t="s">
        <x:v>19</x:v>
      </x:c>
      <x:c r="D46" s="15">
        <x:v>510000</x:v>
      </x:c>
      <x:c r="E46" s="15" t="n">
        <x:f t="shared" ref="E46:K46" si="42">SUM(E42:E45)</x:f>
        <x:v>526000</x:v>
      </x:c>
      <x:c r="F46" s="15" t="n">
        <x:f t="shared" ca="1" si="42">SUM(F42:F45)</x:f>
        <x:v>776515.782</x:v>
      </x:c>
      <x:c r="G46" s="15" t="n">
        <x:f ca="1">SUM(G42:G45)</x:f>
        <x:v>1054587.7260984</x:v>
      </x:c>
      <x:c r="H46" s="15" t="n">
        <x:f t="shared" ca="1" si="42">SUM(H42:H45)</x:f>
        <x:v>1351406.2581023942</x:v>
      </x:c>
      <x:c r="I46" s="15" t="n">
        <x:f t="shared" ca="1" si="42">SUM(I42:I45)</x:f>
        <x:v>1668570.0194211188</x:v>
      </x:c>
      <x:c r="J46" s="15" t="n">
        <x:f t="shared" ca="1" si="42">SUM(J42:J45)</x:f>
        <x:v>2007263.1250697677</x:v>
      </x:c>
      <x:c r="K46" s="15" t="n">
        <x:f t="shared" ca="1" si="42">SUM(K42:K45)</x:f>
        <x:v>2368735.8714532964</x:v>
      </x:c>
    </x:row>
    <x:row r="47">
      <x:c r="D47"/>
      <x:c r="E47"/>
    </x:row>
    <x:row r="48">
      <x:c r="C48" s="1" t="s">
        <x:v>20</x:v>
      </x:c>
      <x:c r="D48" s="3">
        <x:v>120000</x:v>
      </x:c>
      <x:c r="E48" s="3">
        <x:v>128000</x:v>
      </x:c>
      <x:c r="F48" s="3" t="n">
        <x:f t="shared" ref="F48:K48" si="43">E48-F32+F31</x:f>
        <x:v>141697.85</x:v>
      </x:c>
      <x:c r="G48" s="4" t="n">
        <x:f t="shared" si="43">F48-G32+G31</x:f>
        <x:v>156217.571</x:v>
      </x:c>
      <x:c r="H48" s="4" t="n">
        <x:f t="shared" si="43">G48-H32+H31</x:f>
        <x:v>171535.876655</x:v>
      </x:c>
      <x:c r="I48" s="4" t="n">
        <x:f t="shared" si="43">H48-I32+I31</x:f>
        <x:v>187696.689121025</x:v>
      </x:c>
      <x:c r="J48" s="4" t="n">
        <x:f t="shared" si="43">I48-J32+J31</x:f>
        <x:v>204746.34627268137</x:v>
      </x:c>
      <x:c r="K48" s="4" t="n">
        <x:f t="shared" si="43">J48-K32+K31</x:f>
        <x:v>222733.73456767885</x:v>
      </x:c>
    </x:row>
    <x:row r="49">
      <x:c r="C49" s="1" t="str">
        <x:v>Property, Plant and Equipment</x:v>
      </x:c>
      <x:c r="D49" s="3">
        <x:v>15000</x:v>
      </x:c>
      <x:c r="E49" s="3">
        <x:v>17500</x:v>
      </x:c>
      <x:c r="F49" s="3" t="n">
        <x:f>E49-F35+F34</x:f>
        <x:v>20239.57</x:v>
      </x:c>
      <x:c r="G49" s="4" t="n">
        <x:f>F49-G35+G34</x:f>
        <x:v>23143.5142</x:v>
      </x:c>
      <x:c r="H49" s="4" t="n">
        <x:f>G49-H35+H34</x:f>
        <x:v>26207.175331000002</x:v>
      </x:c>
      <x:c r="I49" s="4" t="n">
        <x:f t="shared" ref="I49:K49" si="44">H49-I35+I34</x:f>
        <x:v>29439.337824205002</x:v>
      </x:c>
      <x:c r="J49" s="4" t="n">
        <x:f t="shared" si="44">I49-J35+J34</x:f>
        <x:v>32849.26925453628</x:v>
      </x:c>
      <x:c r="K49" s="4" t="n">
        <x:f t="shared" si="44">J49-K35+K34</x:f>
        <x:v>36446.74691353578</x:v>
      </x:c>
    </x:row>
    <x:row r="50">
      <x:c r="C50" s="14" t="s">
        <x:v>21</x:v>
      </x:c>
      <x:c r="D50" s="15">
        <x:v>135000</x:v>
      </x:c>
      <x:c r="E50" s="15" t="n">
        <x:f t="shared" ref="E50:K50" si="45">SUM(E48:E49)</x:f>
        <x:v>145500</x:v>
      </x:c>
      <x:c r="F50" s="15" t="n">
        <x:f t="shared" si="45">SUM(F48:F49)</x:f>
        <x:v>161937.42</x:v>
      </x:c>
      <x:c r="G50" s="15" t="n">
        <x:f t="shared" si="45">SUM(G48:G49)</x:f>
        <x:v>179361.0852</x:v>
      </x:c>
      <x:c r="H50" s="15" t="n">
        <x:f>SUM(H48:H49)</x:f>
        <x:v>197743.051986</x:v>
      </x:c>
      <x:c r="I50" s="15" t="n">
        <x:f t="shared" si="45">SUM(I48:I49)</x:f>
        <x:v>217136.02694523</x:v>
      </x:c>
      <x:c r="J50" s="15" t="n">
        <x:f t="shared" si="45">SUM(J48:J49)</x:f>
        <x:v>237595.61552721765</x:v>
      </x:c>
      <x:c r="K50" s="15" t="n">
        <x:f t="shared" si="45">SUM(K48:K49)</x:f>
        <x:v>259180.48148121464</x:v>
      </x:c>
    </x:row>
    <x:row r="51">
      <x:c r="D51"/>
      <x:c r="E51"/>
    </x:row>
    <x:row r="52">
      <x:c r="C52" s="6" t="s">
        <x:v>22</x:v>
      </x:c>
      <x:c r="D52" s="16">
        <x:v>645000</x:v>
      </x:c>
      <x:c r="E52" s="16" t="n">
        <x:f t="shared" ref="E52:K52" si="46">E50+E46</x:f>
        <x:v>671500</x:v>
      </x:c>
      <x:c r="F52" s="16" t="n">
        <x:f t="shared" ca="1" si="46">SUM(F46,F50)</x:f>
        <x:v>938453.202</x:v>
      </x:c>
      <x:c r="G52" s="16" t="n">
        <x:f t="shared" ca="1" si="46">SUM(G46,G50)</x:f>
        <x:v>1233948.8112984002</x:v>
      </x:c>
      <x:c r="H52" s="16" t="n">
        <x:f t="shared" ca="1" si="46">SUM(H46,H50)</x:f>
        <x:v>1549149.3100883942</x:v>
      </x:c>
      <x:c r="I52" s="16" t="n">
        <x:f t="shared" ca="1" si="46">SUM(I46,I50)</x:f>
        <x:v>1885706.0463663489</x:v>
      </x:c>
      <x:c r="J52" s="16" t="n">
        <x:f t="shared" ca="1" si="46">SUM(J46,J50)</x:f>
        <x:v>2244858.7405969854</x:v>
      </x:c>
      <x:c r="K52" s="16" t="n">
        <x:f t="shared" ca="1" si="46">SUM(K46,K50)</x:f>
        <x:v>2627916.352934511</x:v>
      </x:c>
    </x:row>
    <x:row r="53">
      <x:c r="D53"/>
      <x:c r="E53"/>
    </x:row>
    <x:row r="54">
      <x:c r="C54" s="1" t="str">
        <x:v>Trade Payables</x:v>
      </x:c>
      <x:c r="D54" s="12">
        <x:v>52000</x:v>
      </x:c>
      <x:c r="E54" s="12">
        <x:v>55000</x:v>
      </x:c>
      <x:c r="F54" s="12" t="n">
        <x:f ca="1">-F11*12%</x:f>
        <x:v>49043.231999999996</x:v>
      </x:c>
      <x:c r="G54" s="13" t="n">
        <x:f>-G11*12%</x:f>
        <x:v>51985.825919999996</x:v>
      </x:c>
      <x:c r="H54" s="13" t="n">
        <x:f t="shared" ref="H54:K54" si="47">-H11*12%</x:f>
        <x:v>54845.04634559999</x:v>
      </x:c>
      <x:c r="I54" s="13" t="n">
        <x:f t="shared" si="47">-I11*12%</x:f>
        <x:v>57861.52389460799</x:v>
      </x:c>
      <x:c r="J54" s="13" t="n">
        <x:f t="shared" si="47">-J11*12%</x:f>
        <x:v>61043.90770881143</x:v>
      </x:c>
      <x:c r="K54" s="13" t="n">
        <x:f t="shared" si="47">-K11*12%</x:f>
        <x:v>64401.32263279605</x:v>
      </x:c>
    </x:row>
    <x:row r="55">
      <x:c r="C55" s="1" t="s">
        <x:v>23</x:v>
      </x:c>
      <x:c r="D55" s="12">
        <x:v>18000</x:v>
      </x:c>
      <x:c r="E55" s="12">
        <x:v>20000</x:v>
      </x:c>
      <x:c r="F55" s="12" t="n">
        <x:f>F10*2.5%</x:f>
        <x:v>22829.75</x:v>
      </x:c>
      <x:c r="G55" s="13" t="n">
        <x:f>G10*2.5%</x:f>
        <x:v>24199.535000000003</x:v>
      </x:c>
      <x:c r="H55" s="13" t="n">
        <x:f t="shared" ref="H55:K55" si="48">H10*2.5%</x:f>
        <x:v>25530.509425</x:v>
      </x:c>
      <x:c r="I55" s="13" t="n">
        <x:f t="shared" si="48">I10*2.5%</x:f>
        <x:v>26934.687443375</x:v>
      </x:c>
      <x:c r="J55" s="13" t="n">
        <x:f t="shared" si="48">J10*2.5%</x:f>
        <x:v>28416.095252760624</x:v>
      </x:c>
      <x:c r="K55" s="13" t="n">
        <x:f t="shared" si="48">K10*2.5%</x:f>
        <x:v>29978.980491662456</x:v>
      </x:c>
    </x:row>
    <x:row r="56">
      <x:c r="C56" s="1" t="s">
        <x:v>24</x:v>
      </x:c>
      <x:c r="D56" s="12">
        <x:v>25000</x:v>
      </x:c>
      <x:c r="E56" s="12">
        <x:v>27000</x:v>
      </x:c>
      <x:c r="F56" s="12" t="n">
        <x:f>F10*3.0%</x:f>
        <x:v>27395.7</x:v>
      </x:c>
      <x:c r="G56" s="13" t="n">
        <x:f>G10*3.0%</x:f>
        <x:v>29039.442</x:v>
      </x:c>
      <x:c r="H56" s="13" t="n">
        <x:f t="shared" ref="H56:K56" si="49">H10*3.0%</x:f>
        <x:v>30636.611309999997</x:v>
      </x:c>
      <x:c r="I56" s="13" t="n">
        <x:f t="shared" si="49">I10*3.0%</x:f>
        <x:v>32321.62493205</x:v>
      </x:c>
      <x:c r="J56" s="13" t="n">
        <x:f t="shared" si="49">J10*3.0%</x:f>
        <x:v>34099.31430331274</x:v>
      </x:c>
      <x:c r="K56" s="13" t="n">
        <x:f t="shared" si="49">K10*3.0%</x:f>
        <x:v>35974.776589994945</x:v>
      </x:c>
    </x:row>
    <x:row r="57">
      <x:c r="C57" s="14" t="s">
        <x:v>25</x:v>
      </x:c>
      <x:c r="D57" s="17">
        <x:v>95000</x:v>
      </x:c>
      <x:c r="E57" s="17" t="n">
        <x:f t="shared" ref="E57:K57" si="50">SUM(E54:E56)</x:f>
        <x:v>102000</x:v>
      </x:c>
      <x:c r="F57" s="17" t="n">
        <x:f t="shared" ca="1" si="50">SUM(F54:F56)</x:f>
        <x:v>99268.68199999999</x:v>
      </x:c>
      <x:c r="G57" s="17" t="n">
        <x:f t="shared" si="50">SUM(G54:G56)</x:f>
        <x:v>105224.80292</x:v>
      </x:c>
      <x:c r="H57" s="17" t="n">
        <x:f t="shared" si="50">SUM(H54:H56)</x:f>
        <x:v>111012.16708059999</x:v>
      </x:c>
      <x:c r="I57" s="17" t="n">
        <x:f t="shared" si="50">SUM(I54:I56)</x:f>
        <x:v>117117.836270033</x:v>
      </x:c>
      <x:c r="J57" s="17" t="n">
        <x:f t="shared" si="50">SUM(J54:J56)</x:f>
        <x:v>123559.3172648848</x:v>
      </x:c>
      <x:c r="K57" s="17" t="n">
        <x:f t="shared" si="50">SUM(K54:K56)</x:f>
        <x:v>130355.07971445344</x:v>
      </x:c>
    </x:row>
    <x:row r="58">
      <x:c r="D58"/>
      <x:c r="E58"/>
    </x:row>
    <x:row r="59">
      <x:c r="C59" s="1" t="str">
        <x:v>Revolving Credit Facility</x:v>
      </x:c>
      <x:c r="D59" s="3">
        <x:v>0</x:v>
      </x:c>
      <x:c r="E59" s="3">
        <x:v>0</x:v>
      </x:c>
      <x:c r="F59" s="3" t="n">
        <x:v>0</x:v>
      </x:c>
      <x:c r="G59" s="4" t="n">
        <x:v>0</x:v>
      </x:c>
      <x:c r="H59" s="4" t="n">
        <x:f t="shared" ref="H59:K59" ca="1" si="51">G59+H121</x:f>
        <x:v>0</x:v>
      </x:c>
      <x:c r="I59" s="4" t="n">
        <x:f t="shared" ca="1" si="51"/>
        <x:v>0</x:v>
      </x:c>
      <x:c r="J59" s="4" t="n">
        <x:f t="shared" ca="1" si="51"/>
        <x:v>0</x:v>
      </x:c>
      <x:c r="K59" s="4" t="n">
        <x:f t="shared" ca="1" si="51"/>
        <x:v>0</x:v>
      </x:c>
    </x:row>
    <x:row r="60">
      <x:c r="C60" s="1" t="str">
        <x:v>Long Term Borrowings</x:v>
      </x:c>
      <x:c r="D60" s="3">
        <x:v>70000</x:v>
      </x:c>
      <x:c r="E60" s="3">
        <x:v>65000</x:v>
      </x:c>
      <x:c r="F60" s="3" t="n">
        <x:f>E60</x:f>
        <x:v>65000</x:v>
      </x:c>
      <x:c r="G60" s="4" t="n">
        <x:f>F60</x:f>
        <x:v>65000</x:v>
      </x:c>
      <x:c r="H60" s="4" t="n">
        <x:f t="shared" ref="H60:K60" si="52">G60</x:f>
        <x:v>65000</x:v>
      </x:c>
      <x:c r="I60" s="4" t="n">
        <x:f t="shared" si="52">H60</x:f>
        <x:v>65000</x:v>
      </x:c>
      <x:c r="J60" s="4" t="n">
        <x:f t="shared" si="52">I60</x:f>
        <x:v>65000</x:v>
      </x:c>
      <x:c r="K60" s="4" t="n">
        <x:f t="shared" si="52">J60</x:f>
        <x:v>65000</x:v>
      </x:c>
    </x:row>
    <x:row r="61">
      <x:c r="C61" s="1" t="s">
        <x:v>26</x:v>
      </x:c>
      <x:c r="D61" s="3">
        <x:v>20000</x:v>
      </x:c>
      <x:c r="E61" s="3">
        <x:v>20000</x:v>
      </x:c>
      <x:c r="F61" s="3" t="n">
        <x:f>E61</x:f>
        <x:v>20000</x:v>
      </x:c>
      <x:c r="G61" s="4" t="n">
        <x:f>F61</x:f>
        <x:v>20000</x:v>
      </x:c>
      <x:c r="H61" s="4" t="n">
        <x:f t="shared" ref="H61:K61" si="53">G61</x:f>
        <x:v>20000</x:v>
      </x:c>
      <x:c r="I61" s="4" t="n">
        <x:f t="shared" si="53">H61</x:f>
        <x:v>20000</x:v>
      </x:c>
      <x:c r="J61" s="4" t="n">
        <x:f t="shared" si="53">I61</x:f>
        <x:v>20000</x:v>
      </x:c>
      <x:c r="K61" s="4" t="n">
        <x:f t="shared" si="53">J61</x:f>
        <x:v>20000</x:v>
      </x:c>
    </x:row>
    <x:row r="62">
      <x:c r="C62" s="6" t="s">
        <x:v>27</x:v>
      </x:c>
      <x:c r="D62" s="16">
        <x:v>185000</x:v>
      </x:c>
      <x:c r="E62" s="16" t="n">
        <x:f t="shared" ref="E62:F62" si="54">E61+E60+E59+E57</x:f>
        <x:v>187000</x:v>
      </x:c>
      <x:c r="F62" s="16" t="n">
        <x:f t="shared" ca="1" si="54">SUM(F57,F59:F61)</x:f>
        <x:v>184268.68199999997</x:v>
      </x:c>
      <x:c r="G62" s="16" t="n">
        <x:f>SUM(G57,G59:G61)</x:f>
        <x:v>190224.80292</x:v>
      </x:c>
      <x:c r="H62" s="16" t="n">
        <x:f ca="1">SUM(H57,H59:H61)</x:f>
        <x:v>196012.1670806</x:v>
      </x:c>
      <x:c r="I62" s="16" t="n">
        <x:f ca="1">SUM(I57,I59:I61)</x:f>
        <x:v>202117.836270033</x:v>
      </x:c>
      <x:c r="J62" s="16" t="n">
        <x:f ca="1">SUM(J57,J59:J61)</x:f>
        <x:v>208559.3172648848</x:v>
      </x:c>
      <x:c r="K62" s="16" t="n">
        <x:f ca="1">SUM(K57,K59:K61)</x:f>
        <x:v>215355.07971445343</x:v>
      </x:c>
    </x:row>
    <x:row r="63">
      <x:c r="D63"/>
      <x:c r="E63"/>
    </x:row>
    <x:row r="64">
      <x:c r="C64" s="1" t="str">
        <x:v>Ordinary Share Capital and Share Premium</x:v>
      </x:c>
      <x:c r="D64" s="3">
        <x:v>100000</x:v>
      </x:c>
      <x:c r="E64" s="3">
        <x:v>100000</x:v>
      </x:c>
      <x:c r="F64" s="3" t="n">
        <x:f t="shared" ref="F64:G66" si="55">E64</x:f>
        <x:v>100000</x:v>
      </x:c>
      <x:c r="G64" s="4" t="n">
        <x:f t="shared" si="55">F64</x:f>
        <x:v>100000</x:v>
      </x:c>
      <x:c r="H64" s="4" t="n">
        <x:f t="shared" ref="H64:K64" si="56">G64</x:f>
        <x:v>100000</x:v>
      </x:c>
      <x:c r="I64" s="4" t="n">
        <x:f t="shared" si="56">H64</x:f>
        <x:v>100000</x:v>
      </x:c>
      <x:c r="J64" s="4" t="n">
        <x:f t="shared" si="56">I64</x:f>
        <x:v>100000</x:v>
      </x:c>
      <x:c r="K64" s="4" t="n">
        <x:f t="shared" si="56">J64</x:f>
        <x:v>100000</x:v>
      </x:c>
    </x:row>
    <x:row r="65">
      <x:c r="C65" s="1" t="str">
        <x:v>Treasury Shares</x:v>
      </x:c>
      <x:c r="D65" s="3">
        <x:v>-10000</x:v>
      </x:c>
      <x:c r="E65" s="3">
        <x:v>-10000</x:v>
      </x:c>
      <x:c r="F65" s="3" t="n">
        <x:f t="shared" si="55">E65</x:f>
        <x:v>-10000</x:v>
      </x:c>
      <x:c r="G65" s="4" t="n">
        <x:f t="shared" si="55">F65</x:f>
        <x:v>-10000</x:v>
      </x:c>
      <x:c r="H65" s="4" t="n">
        <x:f t="shared" ref="H65:K65" si="57">G65</x:f>
        <x:v>-10000</x:v>
      </x:c>
      <x:c r="I65" s="4" t="n">
        <x:f t="shared" si="57">H65</x:f>
        <x:v>-10000</x:v>
      </x:c>
      <x:c r="J65" s="4" t="n">
        <x:f t="shared" si="57">I65</x:f>
        <x:v>-10000</x:v>
      </x:c>
      <x:c r="K65" s="4" t="n">
        <x:f t="shared" si="57">J65</x:f>
        <x:v>-10000</x:v>
      </x:c>
    </x:row>
    <x:row r="66">
      <x:c r="C66" s="1" t="s">
        <x:v>28</x:v>
      </x:c>
      <x:c r="D66" s="3">
        <x:v>0</x:v>
      </x:c>
      <x:c r="E66" s="3">
        <x:v>0</x:v>
      </x:c>
      <x:c r="F66" s="3" t="n">
        <x:f t="shared" si="55">E66</x:f>
        <x:v>0</x:v>
      </x:c>
      <x:c r="G66" s="4" t="n">
        <x:f t="shared" si="55">F66</x:f>
        <x:v>0</x:v>
      </x:c>
      <x:c r="H66" s="4" t="n">
        <x:f t="shared" ref="H66:K66" si="58">G66</x:f>
        <x:v>0</x:v>
      </x:c>
      <x:c r="I66" s="4" t="n">
        <x:f t="shared" si="58">H66</x:f>
        <x:v>0</x:v>
      </x:c>
      <x:c r="J66" s="4" t="n">
        <x:f t="shared" si="58">I66</x:f>
        <x:v>0</x:v>
      </x:c>
      <x:c r="K66" s="4" t="n">
        <x:f t="shared" si="58">J66</x:f>
        <x:v>0</x:v>
      </x:c>
    </x:row>
    <x:row r="67">
      <x:c r="C67" s="1" t="s">
        <x:v>29</x:v>
      </x:c>
      <x:c r="D67" s="3">
        <x:v>370000</x:v>
      </x:c>
      <x:c r="E67" s="3">
        <x:v>394500</x:v>
      </x:c>
      <x:c r="F67" s="3" t="n">
        <x:f ca="1">E67+F20+F87</x:f>
        <x:v>664184.52</x:v>
      </x:c>
      <x:c r="G67" s="4" t="n">
        <x:f ca="1">F67+G20+G87</x:f>
        <x:v>953724.0083784001</x:v>
      </x:c>
      <x:c r="H67" s="4" t="n">
        <x:f t="shared" ref="H67:K67" ca="1" si="59">G67+H20+H87</x:f>
        <x:v>1263137.1430077942</x:v>
      </x:c>
      <x:c r="I67" s="4" t="n">
        <x:f t="shared" ca="1" si="59">H67+I20+I87</x:f>
        <x:v>1593588.210096316</x:v>
      </x:c>
      <x:c r="J67" s="4" t="n">
        <x:f t="shared" ca="1" si="59">I67+J20+J87</x:f>
        <x:v>1946299.4233321005</x:v>
      </x:c>
      <x:c r="K67" s="4" t="n">
        <x:f t="shared" ca="1" si="59">J67+K20+K87</x:f>
        <x:v>2322561.273220057</x:v>
      </x:c>
    </x:row>
    <x:row r="68">
      <x:c r="C68" s="6" t="s">
        <x:v>30</x:v>
      </x:c>
      <x:c r="D68" s="16">
        <x:v>460000</x:v>
      </x:c>
      <x:c r="E68" s="16" t="n">
        <x:f t="shared" ref="E68:F68" si="60">SUM(E64:E67)</x:f>
        <x:v>484500</x:v>
      </x:c>
      <x:c r="F68" s="16" t="n">
        <x:f t="shared" ca="1" si="60">SUM(F64:F67)</x:f>
        <x:v>754184.52</x:v>
      </x:c>
      <x:c r="G68" s="16" t="n">
        <x:f ca="1">SUM(G64:G67)</x:f>
        <x:v>1043724.0083784001</x:v>
      </x:c>
      <x:c r="H68" s="16" t="n">
        <x:f ca="1">SUM(H64:H67)</x:f>
        <x:v>1353137.1430077942</x:v>
      </x:c>
      <x:c r="I68" s="16" t="n">
        <x:f ca="1">SUM(I64:I67)</x:f>
        <x:v>1683588.210096316</x:v>
      </x:c>
      <x:c r="J68" s="16" t="n">
        <x:f ca="1">SUM(J64:J67)</x:f>
        <x:v>2036299.4233321005</x:v>
      </x:c>
      <x:c r="K68" s="16" t="n">
        <x:f ca="1">SUM(K64:K67)</x:f>
        <x:v>2412561.273220057</x:v>
      </x:c>
    </x:row>
    <x:row r="69">
      <x:c r="D69"/>
      <x:c r="E69"/>
    </x:row>
    <x:row r="70">
      <x:c r="C70" s="2" t="str">
        <x:v>Total Liabilities and Equity</x:v>
      </x:c>
      <x:c r="D70" s="5">
        <x:v>645000</x:v>
      </x:c>
      <x:c r="E70" s="5" t="n">
        <x:f t="shared" ref="E70" si="61">E68+E62</x:f>
        <x:v>671500</x:v>
      </x:c>
      <x:c r="F70" s="5" t="n">
        <x:f t="shared" ref="F70:K70" ca="1" si="62">SUM(F62,F68)</x:f>
        <x:v>938453.202</x:v>
      </x:c>
      <x:c r="G70" s="5" t="n">
        <x:f t="shared" ca="1" si="62">SUM(G62,G68)</x:f>
        <x:v>1233948.8112984002</x:v>
      </x:c>
      <x:c r="H70" s="5" t="n">
        <x:f t="shared" ca="1" si="62">SUM(H62,H68)</x:f>
        <x:v>1549149.3100883942</x:v>
      </x:c>
      <x:c r="I70" s="5" t="n">
        <x:f t="shared" ca="1" si="62">SUM(I62,I68)</x:f>
        <x:v>1885706.0463663489</x:v>
      </x:c>
      <x:c r="J70" s="5" t="n">
        <x:f t="shared" ca="1" si="62">SUM(J62,J68)</x:f>
        <x:v>2244858.7405969854</x:v>
      </x:c>
      <x:c r="K70" s="5" t="n">
        <x:f t="shared" ca="1" si="62">SUM(K62,K68)</x:f>
        <x:v>2627916.3529345104</x:v>
      </x:c>
    </x:row>
    <x:row r="71">
      <x:c r="C71" s="1" t="s">
        <x:v>31</x:v>
      </x:c>
      <x:c r="D71" s="4">
        <x:v>0</x:v>
      </x:c>
      <x:c r="E71" s="4" t="n">
        <x:f t="shared" ref="E71:K71" si="63">E52-(E70)</x:f>
        <x:v>0</x:v>
      </x:c>
      <x:c r="F71" s="4" t="n">
        <x:f t="shared" ca="1" si="63">F52-F70</x:f>
        <x:v>0</x:v>
      </x:c>
      <x:c r="G71" s="4" t="n">
        <x:f ca="1">G52-G70</x:f>
        <x:v>0</x:v>
      </x:c>
      <x:c r="H71" s="4" t="n">
        <x:f ca="1">H52-H70</x:f>
        <x:v>0</x:v>
      </x:c>
      <x:c r="I71" s="4" t="n">
        <x:f t="shared" ca="1" si="63">I52-I70</x:f>
        <x:v>0</x:v>
      </x:c>
      <x:c r="J71" s="4" t="n">
        <x:f t="shared" ca="1" si="63">J52-J70</x:f>
        <x:v>0</x:v>
      </x:c>
      <x:c r="K71" s="4" t="n">
        <x:f t="shared" ca="1" si="63">K52-K70</x:f>
        <x:v>4.656612873077393e-10</x:v>
      </x:c>
    </x:row>
    <x:row r="73">
      <x:c r="B73" s="1" t="s">
        <x:v>7</x:v>
      </x:c>
      <x:c r="C73" s="2" t="s">
        <x:v>32</x:v>
      </x:c>
    </x:row>
    <x:row r="75">
      <x:c r="C75" s="1" t="str">
        <x:v>Ordinary Share Capital and Share Premium: Opening Balance</x:v>
      </x:c>
      <x:c r="F75" s="4" t="n">
        <x:f>E64</x:f>
        <x:v>100000</x:v>
      </x:c>
      <x:c r="G75" s="18" t="n">
        <x:f>F64</x:f>
        <x:v>100000</x:v>
      </x:c>
      <x:c r="H75" s="18" t="n">
        <x:f>G64</x:f>
        <x:v>100000</x:v>
      </x:c>
      <x:c r="I75" s="18" t="n">
        <x:f>H64</x:f>
        <x:v>100000</x:v>
      </x:c>
      <x:c r="J75" s="18" t="n">
        <x:f>I64</x:f>
        <x:v>100000</x:v>
      </x:c>
      <x:c r="K75" s="18" t="n">
        <x:f>J64</x:f>
        <x:v>100000</x:v>
      </x:c>
    </x:row>
    <x:row r="76">
      <x:c r="C76" s="1" t="str">
        <x:v>New Issues of Ordinary Shares</x:v>
      </x:c>
      <x:c r="F76" t="n">
        <x:f t="shared" ref="F76:K76" si="64">F64-F75</x:f>
        <x:v>0</x:v>
      </x:c>
      <x:c r="G76" s="20" t="n">
        <x:f t="shared" si="64">G64-G75</x:f>
        <x:v>0</x:v>
      </x:c>
      <x:c r="H76" s="20" t="n">
        <x:f t="shared" si="64">H64-H75</x:f>
        <x:v>0</x:v>
      </x:c>
      <x:c r="I76" s="20" t="n">
        <x:f t="shared" si="64">I64-I75</x:f>
        <x:v>0</x:v>
      </x:c>
      <x:c r="J76" s="20" t="n">
        <x:f t="shared" si="64">J64-J75</x:f>
        <x:v>0</x:v>
      </x:c>
      <x:c r="K76" s="20" t="n">
        <x:f t="shared" si="64">K64-K75</x:f>
        <x:v>0</x:v>
      </x:c>
    </x:row>
    <x:row r="77">
      <x:c r="C77" s="2" t="str">
        <x:v>Ordinary Share Capital and Share Premium: Closing Balance</x:v>
      </x:c>
      <x:c r="D77" s="2"/>
      <x:c r="E77" s="2"/>
      <x:c r="F77" s="2" t="n">
        <x:f>SUM(F75:F76)</x:f>
        <x:v>100000</x:v>
      </x:c>
      <x:c r="G77" s="19" t="n">
        <x:f>SUM(G75:G76)</x:f>
        <x:v>100000</x:v>
      </x:c>
      <x:c r="H77" s="19" t="n">
        <x:f t="shared" ref="H77:K77" si="65">SUM(H75:H76)</x:f>
        <x:v>100000</x:v>
      </x:c>
      <x:c r="I77" s="19" t="n">
        <x:f t="shared" si="65">SUM(I75:I76)</x:f>
        <x:v>100000</x:v>
      </x:c>
      <x:c r="J77" s="19" t="n">
        <x:f t="shared" si="65">SUM(J75:J76)</x:f>
        <x:v>100000</x:v>
      </x:c>
      <x:c r="K77" s="19" t="n">
        <x:f t="shared" si="65">SUM(K75:K76)</x:f>
        <x:v>100000</x:v>
      </x:c>
    </x:row>
    <x:row r="78">
      <x:c r="F78" t="n">
        <x:f t="shared" ref="F78:K78" si="66">SUM(F76:F77)</x:f>
        <x:v>100000</x:v>
      </x:c>
      <x:c r="G78">
        <x:f t="shared" si="66"/>
        <x:v>100000</x:v>
      </x:c>
      <x:c r="H78">
        <x:f t="shared" si="66"/>
        <x:v>200000</x:v>
      </x:c>
      <x:c r="I78">
        <x:f t="shared" si="66"/>
        <x:v>300000</x:v>
      </x:c>
      <x:c r="J78">
        <x:f t="shared" si="66"/>
        <x:v>400000</x:v>
      </x:c>
      <x:c r="K78">
        <x:f t="shared" si="66"/>
        <x:v>500000</x:v>
      </x:c>
    </x:row>
    <x:row r="80">
      <x:c r="C80" s="1" t="str">
        <x:v>Treasury Shares: Opening Balance</x:v>
      </x:c>
      <x:c r="F80" t="n">
        <x:f>E65</x:f>
        <x:v>-10000</x:v>
      </x:c>
      <x:c r="G80" s="18" t="n">
        <x:f>F65</x:f>
        <x:v>-10000</x:v>
      </x:c>
      <x:c r="H80" s="18" t="n">
        <x:f>G65</x:f>
        <x:v>-10000</x:v>
      </x:c>
      <x:c r="I80" s="18" t="n">
        <x:f>H65</x:f>
        <x:v>-10000</x:v>
      </x:c>
      <x:c r="J80" s="18" t="n">
        <x:f>I65</x:f>
        <x:v>-10000</x:v>
      </x:c>
      <x:c r="K80" s="18" t="n">
        <x:f>J65</x:f>
        <x:v>-10000</x:v>
      </x:c>
    </x:row>
    <x:row r="81">
      <x:c r="C81" s="1" t="str">
        <x:v>Share Buybacks</x:v>
      </x:c>
      <x:c r="F81" t="n">
        <x:f>F65-F80</x:f>
        <x:v>0</x:v>
      </x:c>
      <x:c r="G81" s="20" t="n">
        <x:f>G65-G80</x:f>
        <x:v>0</x:v>
      </x:c>
      <x:c r="H81" s="20" t="n">
        <x:f>H65-H80</x:f>
        <x:v>0</x:v>
      </x:c>
      <x:c r="I81" s="20" t="n">
        <x:f>I65-I80</x:f>
        <x:v>0</x:v>
      </x:c>
      <x:c r="J81" s="20" t="n">
        <x:f>J65-J80</x:f>
        <x:v>0</x:v>
      </x:c>
      <x:c r="K81" s="20" t="n">
        <x:f>K65-K80</x:f>
        <x:v>0</x:v>
      </x:c>
    </x:row>
    <x:row r="82">
      <x:c r="C82" s="2" t="str">
        <x:v>Treasury Shares: Closing Balance</x:v>
      </x:c>
      <x:c r="F82" t="n">
        <x:f>SUM(F80:F81)</x:f>
        <x:v>-10000</x:v>
      </x:c>
      <x:c r="G82" s="19" t="n">
        <x:f>SUM(G80:G81)</x:f>
        <x:v>-10000</x:v>
      </x:c>
      <x:c r="H82" s="19" t="n">
        <x:f t="shared" ref="H82:K82" si="67">SUM(H80:H81)</x:f>
        <x:v>-10000</x:v>
      </x:c>
      <x:c r="I82" s="19" t="n">
        <x:f t="shared" si="67">SUM(I80:I81)</x:f>
        <x:v>-10000</x:v>
      </x:c>
      <x:c r="J82" s="19" t="n">
        <x:f t="shared" si="67">SUM(J80:J81)</x:f>
        <x:v>-10000</x:v>
      </x:c>
      <x:c r="K82" s="19" t="n">
        <x:f t="shared" si="67">SUM(K80:K81)</x:f>
        <x:v>-10000</x:v>
      </x:c>
    </x:row>
    <x:row r="83">
      <x:c r="C83" t="s">
        <x:v>33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F84" t="n">
        <x:f t="shared" ref="F84:K84" si="68">SUM(F82:F83)</x:f>
        <x:v>-10000</x:v>
      </x:c>
      <x:c r="G84">
        <x:f t="shared" si="68"/>
        <x:v>-10000</x:v>
      </x:c>
      <x:c r="H84">
        <x:f t="shared" si="68"/>
        <x:v>-10000</x:v>
      </x:c>
      <x:c r="I84">
        <x:f t="shared" si="68"/>
        <x:v>-10000</x:v>
      </x:c>
      <x:c r="J84">
        <x:f t="shared" si="68"/>
        <x:v>-10000</x:v>
      </x:c>
      <x:c r="K84">
        <x:f t="shared" si="68"/>
        <x:v>-10000</x:v>
      </x:c>
    </x:row>
    <x:row r="85">
      <x:c r="C85" s="1" t="str">
        <x:v>Retained Earnings: Opening Balance</x:v>
      </x:c>
      <x:c r="F85" t="n">
        <x:f>E67</x:f>
        <x:v>394500</x:v>
      </x:c>
      <x:c r="G85" s="18" t="n">
        <x:f ca="1">F67</x:f>
        <x:v>664184.52</x:v>
      </x:c>
      <x:c r="H85" s="18" t="n">
        <x:f ca="1">G67</x:f>
        <x:v>953724.0083784001</x:v>
      </x:c>
      <x:c r="I85" s="18" t="n">
        <x:f t="shared" ref="I85:K85" ca="1" si="69">H67</x:f>
        <x:v>1263137.1430077942</x:v>
      </x:c>
      <x:c r="J85" s="18" t="n">
        <x:f t="shared" ca="1" si="69">I67</x:f>
        <x:v>1593588.210096316</x:v>
      </x:c>
      <x:c r="K85" s="18" t="n">
        <x:f t="shared" ca="1" si="69">J67</x:f>
        <x:v>1946299.4233321005</x:v>
      </x:c>
    </x:row>
    <x:row r="86">
      <x:c r="C86" s="1" t="str">
        <x:v>Profit for the Year</x:v>
      </x:c>
      <x:c r="F86" t="n">
        <x:f>F20</x:f>
        <x:v>269804.52</x:v>
      </x:c>
      <x:c r="G86" s="21" t="n">
        <x:f ca="1">G20</x:f>
        <x:v>289659.4883784001</x:v>
      </x:c>
      <x:c r="H86" s="21" t="n">
        <x:f ca="1">H20</x:f>
        <x:v>309533.13462939404</x:v>
      </x:c>
      <x:c r="I86" s="21" t="n">
        <x:f ca="1">I20</x:f>
        <x:v>330571.06708852184</x:v>
      </x:c>
      <x:c r="J86" s="21" t="n">
        <x:f ca="1">J20</x:f>
        <x:v>352831.21323578455</x:v>
      </x:c>
      <x:c r="K86" s="21" t="n">
        <x:f ca="1">K20</x:f>
        <x:v>376381.84988795663</x:v>
      </x:c>
    </x:row>
    <x:row r="87">
      <x:c r="C87" s="1" t="s">
        <x:v>34</x:v>
      </x:c>
      <x:c r="F87" t="n">
        <x:v>-120</x:v>
      </x:c>
      <x:c r="G87" s="20" t="n">
        <x:v>-120</x:v>
      </x:c>
      <x:c r="H87" s="20" t="n">
        <x:v>-120</x:v>
      </x:c>
      <x:c r="I87" s="20" t="n">
        <x:v>-120</x:v>
      </x:c>
      <x:c r="J87" s="20" t="n">
        <x:v>-120</x:v>
      </x:c>
      <x:c r="K87" s="20" t="n">
        <x:v>-120</x:v>
      </x:c>
    </x:row>
    <x:row r="88">
      <x:c r="C88" s="2" t="str">
        <x:v>Retained Earnings: Closing Balance</x:v>
      </x:c>
      <x:c r="F88" t="n">
        <x:f>SUM(F85:F87)</x:f>
        <x:v>664184.52</x:v>
      </x:c>
      <x:c r="G88" s="19" t="n">
        <x:f ca="1">SUM(G85:G87)</x:f>
        <x:v>953724.0083784001</x:v>
      </x:c>
      <x:c r="H88" s="19" t="n">
        <x:f t="shared" ref="H88:K88" ca="1" si="70">SUM(H85:H87)</x:f>
        <x:v>1263137.1430077942</x:v>
      </x:c>
      <x:c r="I88" s="19" t="n">
        <x:f t="shared" ca="1" si="70">SUM(I85:I87)</x:f>
        <x:v>1593588.210096316</x:v>
      </x:c>
      <x:c r="J88" s="19" t="n">
        <x:f t="shared" ca="1" si="70">SUM(J85:J87)</x:f>
        <x:v>1946299.4233321005</x:v>
      </x:c>
      <x:c r="K88" s="19" t="n">
        <x:f t="shared" ca="1" si="70">SUM(K85:K87)</x:f>
        <x:v>2322561.273220057</x:v>
      </x:c>
    </x:row>
    <x:row r="89">
      <x:c r="F89" t="n">
        <x:f t="shared" ref="F89:K89" ca="1" si="71">F20</x:f>
        <x:v>269804.52</x:v>
      </x:c>
      <x:c r="G89">
        <x:f t="shared" ca="1" si="71"/>
        <x:v>289661.43237840012</x:v>
      </x:c>
      <x:c r="H89">
        <x:f t="shared" ca="1" si="71"/>
        <x:v>309537.05412219407</x:v>
      </x:c>
      <x:c r="I89">
        <x:f t="shared" ca="1" si="71"/>
        <x:v>330576.99407710519</x:v>
      </x:c>
      <x:c r="J89">
        <x:f t="shared" ca="1" si="71"/>
        <x:v>351265.51292067493</x:v>
      </x:c>
      <x:c r="K89">
        <x:f t="shared" ca="1" si="71"/>
        <x:v>373063.9657533248</x:v>
      </x:c>
    </x:row>
    <x:row r="90"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F91" t="n">
        <x:f t="shared" ref="F91:K91" ca="1" si="72">SUM(F88:F90)</x:f>
        <x:v>933989.04</x:v>
      </x:c>
      <x:c r="G91">
        <x:f t="shared" ca="1" si="72"/>
        <x:v>953965.95237840014</x:v>
      </x:c>
      <x:c r="H91">
        <x:f t="shared" ca="1" si="72"/>
        <x:v>1263503.0065005943</x:v>
      </x:c>
      <x:c r="I91">
        <x:f t="shared" ca="1" si="72"/>
        <x:v>1594080.0005776994</x:v>
      </x:c>
      <x:c r="J91">
        <x:f t="shared" ca="1" si="72"/>
        <x:v>1945345.5134983743</x:v>
      </x:c>
      <x:c r="K91">
        <x:f t="shared" ca="1" si="72"/>
        <x:v>2318409.4792516991</x:v>
      </x:c>
    </x:row>
    <x:row r="92" ht="28">
      <x:c r="B92" s="1" t="s">
        <x:v>7</x:v>
      </x:c>
      <x:c r="C92" s="24" t="str">
        <x:v>Statement of Cash Flows</x:v>
      </x:c>
    </x:row>
    <x:row r="94">
      <x:c r="C94" s="1" t="str">
        <x:v>Profit for the Year</x:v>
      </x:c>
      <x:c r="F94" t="n">
        <x:f>F20</x:f>
        <x:v>269804.52</x:v>
      </x:c>
      <x:c r="G94" s="4" t="n">
        <x:f ca="1">G20</x:f>
        <x:v>289659.4883784001</x:v>
      </x:c>
      <x:c r="H94" s="4" t="n">
        <x:f t="shared" ref="H94:K94" ca="1" si="73">H20</x:f>
        <x:v>309533.13462939404</x:v>
      </x:c>
      <x:c r="I94" s="4" t="n">
        <x:f t="shared" ca="1" si="73">I20</x:f>
        <x:v>330571.06708852184</x:v>
      </x:c>
      <x:c r="J94" s="4" t="n">
        <x:f t="shared" ca="1" si="73">J20</x:f>
        <x:v>352831.21323578455</x:v>
      </x:c>
      <x:c r="K94" s="4" t="n">
        <x:f t="shared" ca="1" si="73">K20</x:f>
        <x:v>376381.84988795663</x:v>
      </x:c>
    </x:row>
    <x:row r="95">
      <x:c r="C95" s="1" t="str">
        <x:v>Depreciation and Amortisation</x:v>
      </x:c>
      <x:c r="F95" t="n">
        <x:f>-(F31+F34)</x:f>
        <x:v>27395.7</x:v>
      </x:c>
      <x:c r="G95" s="4" t="n">
        <x:f>-(G31+G34)</x:f>
        <x:v>29039.442000000003</x:v>
      </x:c>
      <x:c r="H95" s="4" t="n">
        <x:f t="shared" ref="H95:K95" si="74">-(H31+H34)</x:f>
        <x:v>30636.61131</x:v>
      </x:c>
      <x:c r="I95" s="4" t="n">
        <x:f t="shared" si="74">-(I31+I34)</x:f>
        <x:v>32321.624932050003</x:v>
      </x:c>
      <x:c r="J95" s="4" t="n">
        <x:f t="shared" si="74">-(J31+J34)</x:f>
        <x:v>34099.31430331275</x:v>
      </x:c>
      <x:c r="K95" s="4" t="n">
        <x:f t="shared" si="74">-(K31+K34)</x:f>
        <x:v>35974.776589994945</x:v>
      </x:c>
    </x:row>
    <x:row r="96">
      <x:c r="C96" s="1" t="str">
        <x:v>Trade Receivables</x:v>
      </x:c>
      <x:c r="F96" t="n">
        <x:f>E43-F43</x:f>
        <x:v>-5055.199999999997</x:v>
      </x:c>
      <x:c r="G96" s="4" t="n">
        <x:f>F43-G43</x:f>
        <x:v>-4383.312000000005</x:v>
      </x:c>
      <x:c r="H96" s="4" t="n">
        <x:f t="shared" ref="H96:K96" si="75">G43-H43</x:f>
        <x:v>-4259.118159999998</x:v>
      </x:c>
      <x:c r="I96" s="4" t="n">
        <x:f t="shared" si="75">H43-I43</x:f>
        <x:v>-4493.369658800002</x:v>
      </x:c>
      <x:c r="J96" s="4" t="n">
        <x:f t="shared" si="75">I43-J43</x:f>
        <x:v>-4740.5049900339945</x:v>
      </x:c>
      <x:c r="K96" s="4" t="n">
        <x:f t="shared" si="75">J43-K43</x:f>
        <x:v>-5001.23276448586</x:v>
      </x:c>
    </x:row>
    <x:row r="97">
      <x:c r="C97" s="1" t="str">
        <x:v>Inventories</x:v>
      </x:c>
      <x:c r="F97" t="n">
        <x:f ca="1">E44-F44</x:f>
        <x:v>-7173.399999999994</x:v>
      </x:c>
      <x:c r="G97" s="4" t="n">
        <x:f t="shared" ref="G97:K97" ca="1" si="76">F44-G44</x:f>
        <x:v>-6130.403999999995</x:v>
      </x:c>
      <x:c r="H97" s="4" t="n">
        <x:f t="shared" ca="1" si="76">G44-H44</x:f>
        <x:v>-5956.709220000004</x:v>
      </x:c>
      <x:c r="I97" s="4" t="n">
        <x:f t="shared" ca="1" si="76">H44-I44</x:f>
        <x:v>-6284.328227099992</x:v>
      </x:c>
      <x:c r="J97" s="4" t="n">
        <x:f t="shared" ca="1" si="76">I44-J44</x:f>
        <x:v>-6629.966279590488</x:v>
      </x:c>
      <x:c r="K97" s="4" t="n">
        <x:f t="shared" ca="1" si="76">J44-K44</x:f>
        <x:v>-6994.614424967978</x:v>
      </x:c>
    </x:row>
    <x:row r="98">
      <x:c r="C98" s="1" t="str">
        <x:v>Prepayments and Other Working Capital Assets</x:v>
      </x:c>
      <x:c r="F98" t="n">
        <x:f>E45-F45</x:f>
        <x:v>-697.8500000000004</x:v>
      </x:c>
      <x:c r="G98" s="4" t="n">
        <x:f t="shared" ref="G98:K98" si="77">F45-G45</x:f>
        <x:v>-821.8709999999992</x:v>
      </x:c>
      <x:c r="H98" s="4" t="n">
        <x:f t="shared" si="77">G45-H45</x:f>
        <x:v>-798.5846549999987</x:v>
      </x:c>
      <x:c r="I98" s="4" t="n">
        <x:f t="shared" si="77">H45-I45</x:f>
        <x:v>-842.5068110250013</x:v>
      </x:c>
      <x:c r="J98" s="4" t="n">
        <x:f t="shared" si="77">I45-J45</x:f>
        <x:v>-888.8446856313712</x:v>
      </x:c>
      <x:c r="K98" s="4" t="n">
        <x:f t="shared" si="77">J45-K45</x:f>
        <x:v>-937.7311433411014</x:v>
      </x:c>
    </x:row>
    <x:row r="99">
      <x:c r="C99" s="1" t="str">
        <x:v>Trade Payables</x:v>
      </x:c>
      <x:c r="F99" t="n">
        <x:f>F54-E54</x:f>
        <x:v>-5956.768000000004</x:v>
      </x:c>
      <x:c r="G99" s="13" t="n">
        <x:f>G54-F54</x:f>
        <x:v>2942.5939199999993</x:v>
      </x:c>
      <x:c r="H99" s="13" t="n">
        <x:f t="shared" ref="H99:K99" si="78">H54-G54</x:f>
        <x:v>2859.220425599997</x:v>
      </x:c>
      <x:c r="I99" s="13" t="n">
        <x:f t="shared" si="78">I54-H54</x:f>
        <x:v>3016.477549007999</x:v>
      </x:c>
      <x:c r="J99" s="13" t="n">
        <x:f t="shared" si="78">J54-I54</x:f>
        <x:v>3182.3838142034365</x:v>
      </x:c>
      <x:c r="K99" s="13" t="n">
        <x:f t="shared" si="78">K54-J54</x:f>
        <x:v>3357.414923984623</x:v>
      </x:c>
    </x:row>
    <x:row r="100">
      <x:c r="C100" s="1" t="s">
        <x:v>23</x:v>
      </x:c>
      <x:c r="F100" t="n">
        <x:f ca="1">F55-E55</x:f>
        <x:v>2829.75</x:v>
      </x:c>
      <x:c r="G100" s="13" t="n">
        <x:f t="shared" ref="G100:K100" ca="1" si="79">G55-F55</x:f>
        <x:v>1369.7850000000035</x:v>
      </x:c>
      <x:c r="H100" s="13" t="n">
        <x:f t="shared" si="79">H55-G55</x:f>
        <x:v>1330.9744249999967</x:v>
      </x:c>
      <x:c r="I100" s="13" t="n">
        <x:f t="shared" si="79">I55-H55</x:f>
        <x:v>1404.1780183750016</x:v>
      </x:c>
      <x:c r="J100" s="13" t="n">
        <x:f t="shared" si="79">J55-I55</x:f>
        <x:v>1481.4078093856224</x:v>
      </x:c>
      <x:c r="K100" s="13" t="n">
        <x:f t="shared" si="79">K55-J55</x:f>
        <x:v>1562.885238901832</x:v>
      </x:c>
    </x:row>
    <x:row r="101">
      <x:c r="C101" s="1" t="s">
        <x:v>24</x:v>
      </x:c>
      <x:c r="F101" t="n">
        <x:f>F56-E56</x:f>
        <x:v>395.7000000000007</x:v>
      </x:c>
      <x:c r="G101" s="13" t="n">
        <x:f t="shared" ref="G101:K101" si="80">G56-F56</x:f>
        <x:v>1643.7419999999984</x:v>
      </x:c>
      <x:c r="H101" s="13" t="n">
        <x:f t="shared" si="80">H56-G56</x:f>
        <x:v>1597.1693099999975</x:v>
      </x:c>
      <x:c r="I101" s="13" t="n">
        <x:f t="shared" si="80">I56-H56</x:f>
        <x:v>1685.0136220500026</x:v>
      </x:c>
      <x:c r="J101" s="13" t="n">
        <x:f t="shared" si="80">J56-I56</x:f>
        <x:v>1777.6893712627425</x:v>
      </x:c>
      <x:c r="K101" s="13" t="n">
        <x:f t="shared" si="80">K56-J56</x:f>
        <x:v>1875.4622866822028</x:v>
      </x:c>
    </x:row>
    <x:row r="102">
      <x:c r="C102" s="2" t="str">
        <x:v>Cash Flow from Operating Activities</x:v>
      </x:c>
      <x:c r="D102" s="2"/>
      <x:c r="E102" s="2"/>
      <x:c r="F102" s="2" t="n">
        <x:f t="shared" ref="F102:G104" ca="1" si="81">SUM(F94:F101)</x:f>
        <x:v>281542.45200000005</x:v>
      </x:c>
      <x:c r="G102" s="5" t="n">
        <x:f t="shared" ca="1" si="81">SUM(G94:G101)</x:f>
        <x:v>313319.4642984001</x:v>
      </x:c>
      <x:c r="H102" s="5" t="n">
        <x:f t="shared" ref="H102:K102" si="82">SUM(H94:H101)</x:f>
        <x:v>334942.69806499407</x:v>
      </x:c>
      <x:c r="I102" s="5" t="n">
        <x:f t="shared" si="82">SUM(I94:I101)</x:f>
        <x:v>357378.1565130798</x:v>
      </x:c>
      <x:c r="J102" s="5" t="n">
        <x:f t="shared" si="82">SUM(J94:J101)</x:f>
        <x:v>381112.6925786932</x:v>
      </x:c>
      <x:c r="K102" s="5" t="n">
        <x:f t="shared" si="82">SUM(K94:K101)</x:f>
        <x:v>406218.8105947253</x:v>
      </x:c>
    </x:row>
    <x:row r="103">
      <x:c r="F103">
        <x:f t="shared" si="81"/>
        <x:v>2829.75</x:v>
      </x:c>
      <x:c r="G103">
        <x:f t="shared" si="81"/>
        <x:v>1369.7850000000035</x:v>
      </x:c>
      <x:c r="H103" t="n">
        <x:f>H55-G55</x:f>
        <x:v>1330.9744249999967</x:v>
      </x:c>
      <x:c r="I103" t="n">
        <x:f>I55-H55</x:f>
        <x:v>1404.1780183750016</x:v>
      </x:c>
      <x:c r="J103" t="n">
        <x:f>J55-I55</x:f>
        <x:v>1481.4078093856224</x:v>
      </x:c>
      <x:c r="K103" t="n">
        <x:f>K55-J55</x:f>
        <x:v>1562.885238901832</x:v>
      </x:c>
    </x:row>
    <x:row r="104">
      <x:c r="C104" s="1" t="str">
        <x:v>Capital Expenditure</x:v>
      </x:c>
      <x:c r="F104" t="n">
        <x:f t="shared" si="81">F32</x:f>
        <x:v>-36527.6</x:v>
      </x:c>
      <x:c r="G104" s="4" t="n">
        <x:f t="shared" si="81">G32</x:f>
        <x:v>-38719.256</x:v>
      </x:c>
      <x:c r="H104" s="4" t="n">
        <x:f t="shared" ref="H104:K104" si="83">H32</x:f>
        <x:v>-40848.81508</x:v>
      </x:c>
      <x:c r="I104" s="4" t="n">
        <x:f t="shared" si="83">I32</x:f>
        <x:v>-43095.4999094</x:v>
      </x:c>
      <x:c r="J104" s="4" t="n">
        <x:f t="shared" si="83">J32</x:f>
        <x:v>-45465.752404417</x:v>
      </x:c>
      <x:c r="K104" s="4" t="n">
        <x:f t="shared" si="83">K32</x:f>
        <x:v>-47966.36878665993</x:v>
      </x:c>
    </x:row>
    <x:row r="105">
      <x:c r="C105" s="1" t="s">
        <x:v>35</x:v>
      </x:c>
      <x:c r="F105" t="n">
        <x:f ca="1">F35</x:f>
        <x:v>-7305.52</x:v>
      </x:c>
      <x:c r="G105" s="4" t="n">
        <x:f ca="1">G35</x:f>
        <x:v>-7743.8512</x:v>
      </x:c>
      <x:c r="H105" s="4" t="n">
        <x:f t="shared" ref="H105:K105" ca="1" si="84">H35</x:f>
        <x:v>-8169.763016</x:v>
      </x:c>
      <x:c r="I105" s="4" t="n">
        <x:f t="shared" ca="1" si="84">I35</x:f>
        <x:v>-8619.09998188</x:v>
      </x:c>
      <x:c r="J105" s="4" t="n">
        <x:f t="shared" ca="1" si="84">J35</x:f>
        <x:v>-9093.1504808834</x:v>
      </x:c>
      <x:c r="K105" s="4" t="n">
        <x:f t="shared" ca="1" si="84">K35</x:f>
        <x:v>-9593.273757331986</x:v>
      </x:c>
    </x:row>
    <x:row r="106">
      <x:c r="C106" s="2" t="str">
        <x:v>Cash Flow from Investing Activities</x:v>
      </x:c>
      <x:c r="D106" s="2"/>
      <x:c r="E106" s="2"/>
      <x:c r="F106" s="2" t="n">
        <x:f>SUM(F104:F105)</x:f>
        <x:v>-43833.119999999995</x:v>
      </x:c>
      <x:c r="G106" s="5" t="n">
        <x:f ca="1">SUM(G104:G105)</x:f>
        <x:v>-46463.1072</x:v>
      </x:c>
      <x:c r="H106" s="5" t="n">
        <x:f t="shared" ref="H106:K106" ca="1" si="85">SUM(H104:H105)</x:f>
        <x:v>-49018.578096</x:v>
      </x:c>
      <x:c r="I106" s="5" t="n">
        <x:f t="shared" ca="1" si="85">SUM(I104:I105)</x:f>
        <x:v>-51714.59989128</x:v>
      </x:c>
      <x:c r="J106" s="5" t="n">
        <x:f t="shared" ca="1" si="85">SUM(J104:J105)</x:f>
        <x:v>-54558.9028853004</x:v>
      </x:c>
      <x:c r="K106" s="5" t="n">
        <x:f t="shared" ca="1" si="85">SUM(K104:K105)</x:f>
        <x:v>-57559.64254399191</x:v>
      </x:c>
    </x:row>
    <x:row r="107">
      <x:c r="F107" t="n">
        <x:f t="shared" ref="F107:K107" si="86">F32</x:f>
        <x:v>-36527.6</x:v>
      </x:c>
      <x:c r="G107">
        <x:f t="shared" si="86"/>
        <x:v>-38719.256000000001</x:v>
      </x:c>
      <x:c r="H107">
        <x:f t="shared" si="86"/>
        <x:v>-40848.81508</x:v>
      </x:c>
      <x:c r="I107">
        <x:f t="shared" si="86"/>
        <x:v>-43095.499909400001</x:v>
      </x:c>
      <x:c r="J107">
        <x:f t="shared" si="86"/>
        <x:v>-45465.752404416999</x:v>
      </x:c>
      <x:c r="K107">
        <x:f t="shared" si="86"/>
        <x:v>-47966.368786659928</x:v>
      </x:c>
    </x:row>
    <x:row r="108">
      <x:c r="C108" s="1" t="str">
        <x:v>Long Term Borrowings</x:v>
      </x:c>
      <x:c r="F108" t="n">
        <x:f>F60-E60</x:f>
        <x:v>0</x:v>
      </x:c>
      <x:c r="G108" s="4" t="n">
        <x:f>G60-F60</x:f>
        <x:v>0</x:v>
      </x:c>
      <x:c r="H108" s="4" t="n">
        <x:f t="shared" ref="H108:K108" si="87">H60-G60</x:f>
        <x:v>0</x:v>
      </x:c>
      <x:c r="I108" s="4" t="n">
        <x:f t="shared" si="87">I60-H60</x:f>
        <x:v>0</x:v>
      </x:c>
      <x:c r="J108" s="4" t="n">
        <x:f t="shared" si="87">J60-I60</x:f>
        <x:v>0</x:v>
      </x:c>
      <x:c r="K108" s="4" t="n">
        <x:f t="shared" si="87">K60-J60</x:f>
        <x:v>0</x:v>
      </x:c>
    </x:row>
    <x:row r="109">
      <x:c r="C109" s="1" t="str">
        <x:v>Revolving Credit Facility</x:v>
      </x:c>
      <x:c r="F109" t="n">
        <x:f>F59-E59</x:f>
        <x:v>0</x:v>
      </x:c>
      <x:c r="G109" s="4" t="n">
        <x:f>G59-F59</x:f>
        <x:v>0</x:v>
      </x:c>
      <x:c r="H109" s="4" t="n">
        <x:f t="shared" ref="H109:K109" si="88">H59-G59</x:f>
        <x:v>0</x:v>
      </x:c>
      <x:c r="I109" s="4" t="n">
        <x:f t="shared" si="88">I59-H59</x:f>
        <x:v>0</x:v>
      </x:c>
      <x:c r="J109" s="4" t="n">
        <x:f t="shared" si="88">J59-I59</x:f>
        <x:v>0</x:v>
      </x:c>
      <x:c r="K109" s="4" t="n">
        <x:f t="shared" si="88">K59-J59</x:f>
        <x:v>0</x:v>
      </x:c>
    </x:row>
    <x:row r="110">
      <x:c r="C110" s="1" t="s">
        <x:v>26</x:v>
      </x:c>
      <x:c r="F110" t="n">
        <x:f>F61-E61</x:f>
        <x:v>0</x:v>
      </x:c>
      <x:c r="G110" s="4" t="n">
        <x:f>G61-F61</x:f>
        <x:v>0</x:v>
      </x:c>
      <x:c r="H110" s="4" t="n">
        <x:f t="shared" ref="H110:K110" si="89">H61-G61</x:f>
        <x:v>0</x:v>
      </x:c>
      <x:c r="I110" s="4" t="n">
        <x:f t="shared" si="89">I61-H61</x:f>
        <x:v>0</x:v>
      </x:c>
      <x:c r="J110" s="4" t="n">
        <x:f t="shared" si="89">J61-I61</x:f>
        <x:v>0</x:v>
      </x:c>
      <x:c r="K110" s="4" t="n">
        <x:f t="shared" si="89">K61-J61</x:f>
        <x:v>0</x:v>
      </x:c>
    </x:row>
    <x:row r="111">
      <x:c r="C111" s="1" t="str">
        <x:v>Issues of Ordinary Shares</x:v>
      </x:c>
      <x:c r="F111" t="n">
        <x:f>F64-E64</x:f>
        <x:v>0</x:v>
      </x:c>
      <x:c r="G111" s="18" t="n">
        <x:f>G64-F64</x:f>
        <x:v>0</x:v>
      </x:c>
      <x:c r="H111" s="18" t="n">
        <x:f t="shared" ref="H111:K111" si="90">H64-G64</x:f>
        <x:v>0</x:v>
      </x:c>
      <x:c r="I111" s="18" t="n">
        <x:f t="shared" si="90">I64-H64</x:f>
        <x:v>0</x:v>
      </x:c>
      <x:c r="J111" s="18" t="n">
        <x:f t="shared" si="90">J64-I64</x:f>
        <x:v>0</x:v>
      </x:c>
      <x:c r="K111" s="18" t="n">
        <x:f t="shared" si="90">K64-J64</x:f>
        <x:v>0</x:v>
      </x:c>
    </x:row>
    <x:row r="112">
      <x:c r="C112" s="1" t="str">
        <x:v>Share Buybacks</x:v>
      </x:c>
      <x:c r="F112" t="n">
        <x:f>F65-E65</x:f>
        <x:v>0</x:v>
      </x:c>
      <x:c r="G112" s="18" t="n">
        <x:f>G65-F65</x:f>
        <x:v>0</x:v>
      </x:c>
      <x:c r="H112" s="18" t="n">
        <x:f t="shared" ref="H112:K112" si="91">H65-G65</x:f>
        <x:v>0</x:v>
      </x:c>
      <x:c r="I112" s="18" t="n">
        <x:f t="shared" si="91">I65-H65</x:f>
        <x:v>0</x:v>
      </x:c>
      <x:c r="J112" s="18" t="n">
        <x:f t="shared" si="91">J65-I65</x:f>
        <x:v>0</x:v>
      </x:c>
      <x:c r="K112" s="18" t="n">
        <x:f t="shared" si="91">K65-J65</x:f>
        <x:v>0</x:v>
      </x:c>
    </x:row>
    <x:row r="113">
      <x:c r="C113" s="1" t="s">
        <x:v>28</x:v>
      </x:c>
      <x:c r="F113" t="n">
        <x:f>F66-E66</x:f>
        <x:v>0</x:v>
      </x:c>
      <x:c r="G113" s="4" t="n">
        <x:f>G66-F66</x:f>
        <x:v>0</x:v>
      </x:c>
      <x:c r="H113" s="4" t="n">
        <x:f t="shared" ref="H113:K113" si="92">H66-G66</x:f>
        <x:v>0</x:v>
      </x:c>
      <x:c r="I113" s="4" t="n">
        <x:f t="shared" si="92">I66-H66</x:f>
        <x:v>0</x:v>
      </x:c>
      <x:c r="J113" s="4" t="n">
        <x:f t="shared" si="92">J66-I66</x:f>
        <x:v>0</x:v>
      </x:c>
      <x:c r="K113" s="4" t="n">
        <x:f t="shared" si="92">K66-J66</x:f>
        <x:v>0</x:v>
      </x:c>
    </x:row>
    <x:row r="114">
      <x:c r="C114" s="1" t="s">
        <x:v>34</x:v>
      </x:c>
      <x:c r="F114" t="n">
        <x:f>F87</x:f>
        <x:v>-120</x:v>
      </x:c>
      <x:c r="G114" s="18" t="n">
        <x:f>G87</x:f>
        <x:v>-120</x:v>
      </x:c>
      <x:c r="H114" s="18" t="n">
        <x:f t="shared" ref="H114:K114" si="93">H87</x:f>
        <x:v>-120</x:v>
      </x:c>
      <x:c r="I114" s="18" t="n">
        <x:f t="shared" si="93">I87</x:f>
        <x:v>-120</x:v>
      </x:c>
      <x:c r="J114" s="18" t="n">
        <x:f t="shared" si="93">J87</x:f>
        <x:v>-120</x:v>
      </x:c>
      <x:c r="K114" s="18" t="n">
        <x:f t="shared" si="93">K87</x:f>
        <x:v>-120</x:v>
      </x:c>
    </x:row>
    <x:row r="115">
      <x:c r="C115" s="2" t="str">
        <x:v>Cash Flow from Financing Activities</x:v>
      </x:c>
      <x:c r="D115" s="2"/>
      <x:c r="E115" s="2"/>
      <x:c r="F115" s="2" t="n">
        <x:f>SUM(F108:F114)</x:f>
        <x:v>-120</x:v>
      </x:c>
      <x:c r="G115" s="5" t="n">
        <x:f>SUM(G108:G114)</x:f>
        <x:v>-120</x:v>
      </x:c>
      <x:c r="H115" s="5" t="n">
        <x:f>SUM(H108:H114)</x:f>
        <x:v>-120</x:v>
      </x:c>
      <x:c r="I115" s="5" t="n">
        <x:f t="shared" ref="I115:K115" si="94">SUM(I108:I114)</x:f>
        <x:v>-120</x:v>
      </x:c>
      <x:c r="J115" s="5" t="n">
        <x:f t="shared" si="94">SUM(J108:J114)</x:f>
        <x:v>-120</x:v>
      </x:c>
      <x:c r="K115" s="5" t="n">
        <x:f t="shared" si="94">SUM(K108:K114)</x:f>
        <x:v>-120</x:v>
      </x:c>
    </x:row>
    <x:row r="116"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C117" s="2" t="str">
        <x:v>Net Change in Cash</x:v>
      </x:c>
      <x:c r="D117" s="2"/>
      <x:c r="E117" s="2"/>
      <x:c r="F117" s="2" t="n">
        <x:f>SUM(F102,F106,F115)</x:f>
        <x:v>237589.33200000005</x:v>
      </x:c>
      <x:c r="G117" s="5" t="n">
        <x:f>SUM(G102,G106,G115)</x:f>
        <x:v>266736.3570984001</x:v>
      </x:c>
      <x:c r="H117" s="5" t="n">
        <x:f t="shared" ref="H117:K117" ca="1" si="95">SUM(H102,H106,H115)</x:f>
        <x:v>285804.11996899405</x:v>
      </x:c>
      <x:c r="I117" s="5" t="n">
        <x:f t="shared" ca="1" si="95">SUM(I102,I106,I115)</x:f>
        <x:v>305543.5566217998</x:v>
      </x:c>
      <x:c r="J117" s="5" t="n">
        <x:f t="shared" ca="1" si="95">SUM(J102,J106,J115)</x:f>
        <x:v>326433.7896933928</x:v>
      </x:c>
      <x:c r="K117" s="5" t="n">
        <x:f t="shared" ca="1" si="95">SUM(K102,K106,K115)</x:f>
        <x:v>348539.1680507334</x:v>
      </x:c>
    </x:row>
    <x:row r="118">
      <x:c r="F118" t="n">
        <x:f t="shared" ref="F118:K118" si="96">SUM(F111:F117)</x:f>
        <x:v>237349.33200000005</x:v>
      </x:c>
      <x:c r="G118">
        <x:f t="shared" si="96"/>
        <x:v>0</x:v>
      </x:c>
      <x:c r="H118">
        <x:f t="shared" ca="1" si="96"/>
        <x:v>0</x:v>
      </x:c>
      <x:c r="I118">
        <x:f t="shared" ca="1" si="96"/>
        <x:v>0</x:v>
      </x:c>
      <x:c r="J118">
        <x:f t="shared" ca="1" si="96"/>
        <x:v>0</x:v>
      </x:c>
      <x:c r="K118">
        <x:f t="shared" ca="1" si="96"/>
        <x:v>0</x:v>
      </x:c>
    </x:row>
    <x:row r="120">
      <x:c r="C120" s="1" t="str">
        <x:v>Cash Flow Before Revolving Credit Facility</x:v>
      </x:c>
      <x:c r="F120" t="n">
        <x:f ca="1">F117</x:f>
        <x:v>237589.33200000005</x:v>
      </x:c>
      <x:c r="G120" s="4" t="n">
        <x:f ca="1">G117</x:f>
        <x:v>266736.3570984001</x:v>
      </x:c>
      <x:c r="H120" s="4" t="n">
        <x:f t="shared" ref="H120:K120" ca="1" si="97">H117</x:f>
        <x:v>285804.11996899405</x:v>
      </x:c>
      <x:c r="I120" s="4" t="n">
        <x:f t="shared" ca="1" si="97">I117</x:f>
        <x:v>305543.5566217998</x:v>
      </x:c>
      <x:c r="J120" s="4" t="n">
        <x:f t="shared" ca="1" si="97">J117</x:f>
        <x:v>326433.7896933928</x:v>
      </x:c>
      <x:c r="K120" s="4" t="n">
        <x:f t="shared" ca="1" si="97">K117</x:f>
        <x:v>348539.1680507334</x:v>
      </x:c>
    </x:row>
    <x:row r="121">
      <x:c r="C121" s="2" t="str">
        <x:v>Closing Cash and Cash Equivalents</x:v>
      </x:c>
      <x:c r="D121" s="2"/>
      <x:c r="E121" s="2"/>
      <x:c r="F121" s="2" t="n">
        <x:f ca="1">E42+F120</x:f>
        <x:v>587589.332</x:v>
      </x:c>
      <x:c r="G121" s="5" t="n">
        <x:f ca="1">F42+G120</x:f>
        <x:v>854325.6890984002</x:v>
      </x:c>
      <x:c r="H121" s="5" t="n">
        <x:f t="shared" ref="H121:K121" ca="1" si="98">G42+H120</x:f>
        <x:v>1140129.8090673941</x:v>
      </x:c>
      <x:c r="I121" s="5" t="n">
        <x:f t="shared" ca="1" si="98">H42+I120</x:f>
        <x:v>1445673.3656891938</x:v>
      </x:c>
      <x:c r="J121" s="5" t="n">
        <x:f t="shared" ca="1" si="98">I42+J120</x:f>
        <x:v>1772107.1553825866</x:v>
      </x:c>
      <x:c r="K121" s="5" t="n">
        <x:f t="shared" ca="1" si="98">J42+K120</x:f>
        <x:v>2120646.32343332</x:v>
      </x:c>
    </x:row>
  </x:sheetData>
  <x:mergeCells>
    <x:mergeCell ref="D6:E6"/>
    <x:mergeCell ref="F6:K6"/>
  </x:mergeCells>
  <x:pageMargins left="0.7" right="0.7" top="0.75" bottom="0.75" header="0.3" footer="0.3"/>
</x:worksheet>
</file>