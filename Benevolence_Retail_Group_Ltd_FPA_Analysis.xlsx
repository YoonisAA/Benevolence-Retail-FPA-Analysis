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b639fc83041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3eb82e9547c4639"/>
    <x:sheet xmlns:r="http://schemas.openxmlformats.org/officeDocument/2006/relationships" name="Budget vs Actual" sheetId="2" r:id="R8cca89df4f5d41e8"/>
    <x:sheet xmlns:r="http://schemas.openxmlformats.org/officeDocument/2006/relationships" name="P&amp;L" sheetId="3" r:id="Rfc8f189ad9804248"/>
    <x:sheet xmlns:r="http://schemas.openxmlformats.org/officeDocument/2006/relationships" name="Sales Budget" sheetId="4" r:id="R08970f32454b4956"/>
    <x:sheet xmlns:r="http://schemas.openxmlformats.org/officeDocument/2006/relationships" name="Expense Budget" sheetId="5" r:id="R14e35abf15874711"/>
    <x:sheet xmlns:r="http://schemas.openxmlformats.org/officeDocument/2006/relationships" name="Cash Flow Forecast" sheetId="6" r:id="R4284095c42324cd9"/>
    <x:sheet xmlns:r="http://schemas.openxmlformats.org/officeDocument/2006/relationships" name="Break-even Analysis" sheetId="7" r:id="R22aaa14ba29043a4"/>
    <x:sheet xmlns:r="http://schemas.openxmlformats.org/officeDocument/2006/relationships" name="Management Accounts" sheetId="8" r:id="R647ee42eb9394e37"/>
    <x:sheet xmlns:r="http://schemas.openxmlformats.org/officeDocument/2006/relationships" name="KPI Dashboard" sheetId="9" r:id="R20134353d8b04a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£#,##0;[Red](£#,##0);-"/>
    <x:numFmt numFmtId="165" formatCode="0.0%;[Red](0.0%);-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008000"/>
      <x:name val="Carlito"/>
    </x:font>
    <x:font>
      <x:b/>
      <x:sz val="16"/>
      <x:color rgb="FF008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4">
    <x:border/>
    <x:border/>
    <x:border/>
    <x:border/>
  </x:borders>
  <x:cellStyleXfs count="1">
    <x:xf numFmtId="0" fontId="0" fillId="0" borderId="1"/>
  </x:cellStyleXfs>
  <x:cellXfs count="61">
    <x:xf numFmtId="0" fontId="0" fillId="0" borderId="0" xfId="0"/>
    <x:xf numFmtId="0" fontId="0" fillId="0" borderId="1" xfId="0"/>
    <x:xf numFmtId="0" fontId="0" fillId="2" borderId="0" xfId="0"/>
    <x:xf numFmtId="0" fontId="0" fillId="2" borderId="1" xfId="0"/>
    <x:xf numFmtId="0" fontId="1" fillId="2" borderId="0" xfId="0"/>
    <x:xf numFmtId="0" fontId="1" fillId="2" borderId="1" xfId="0"/>
    <x:xf numFmtId="0" fontId="2" fillId="0" borderId="0" xfId="0"/>
    <x:xf numFmtId="0" fontId="2" fillId="0" borderId="1" xfId="0"/>
    <x:xf numFmtId="0" fontId="2" fillId="0" borderId="0" xfId="0" applyAlignment="1">
      <x:alignment wrapText="1"/>
    </x:xf>
    <x:xf numFmtId="0" fontId="0" fillId="0" borderId="0" xfId="0" applyAlignment="1">
      <x:alignment wrapText="1"/>
    </x:xf>
    <x:xf numFmtId="0" fontId="2" fillId="0" borderId="1" xfId="0" applyAlignment="1">
      <x:alignment wrapText="1"/>
    </x:xf>
    <x:xf numFmtId="0" fontId="0" fillId="0" borderId="1" xfId="0" applyAlignment="1">
      <x:alignment wrapText="1"/>
    </x:xf>
    <x:xf numFmtId="0" fontId="3" fillId="2" borderId="0" xfId="0"/>
    <x:xf numFmtId="0" fontId="3" fillId="2" borderId="1" xfId="0"/>
    <x:xf numFmtId="0" fontId="4" fillId="0" borderId="0" xfId="0"/>
    <x:xf numFmtId="0" fontId="4" fillId="0" borderId="1" xfId="0"/>
    <x:xf numFmtId="164" fontId="4" fillId="0" borderId="0" xfId="0"/>
    <x:xf numFmtId="164" fontId="0" fillId="0" borderId="0" xfId="0"/>
    <x:xf numFmtId="164" fontId="4" fillId="0" borderId="1" xfId="0"/>
    <x:xf numFmtId="164" fontId="0" fillId="0" borderId="1" xfId="0"/>
    <x:xf numFmtId="165" fontId="0" fillId="0" borderId="0" xfId="0"/>
    <x:xf numFmtId="165" fontId="0" fillId="0" borderId="1" xfId="0"/>
    <x:xf numFmtId="0" fontId="2" fillId="0" borderId="2" xfId="0"/>
    <x:xf numFmtId="0" fontId="2" fillId="0" borderId="3" xfId="0"/>
    <x:xf numFmtId="164" fontId="2" fillId="0" borderId="2" xfId="0"/>
    <x:xf numFmtId="164" fontId="2" fillId="0" borderId="3" xfId="0"/>
    <x:xf numFmtId="0" fontId="5" fillId="0" borderId="0" xfId="0"/>
    <x:xf numFmtId="164" fontId="5" fillId="0" borderId="0" xfId="0"/>
    <x:xf numFmtId="0" fontId="6" fillId="0" borderId="2" xfId="0"/>
    <x:xf numFmtId="164" fontId="6" fillId="0" borderId="2" xfId="0"/>
    <x:xf numFmtId="0" fontId="5" fillId="0" borderId="1" xfId="0"/>
    <x:xf numFmtId="164" fontId="5" fillId="0" borderId="1" xfId="0"/>
    <x:xf numFmtId="0" fontId="6" fillId="0" borderId="3" xfId="0"/>
    <x:xf numFmtId="164" fontId="6" fillId="0" borderId="3" xfId="0"/>
    <x:xf numFmtId="165" fontId="5" fillId="0" borderId="0" xfId="0"/>
    <x:xf numFmtId="165" fontId="5" fillId="0" borderId="1" xfId="0"/>
    <x:xf numFmtId="3" fontId="0" fillId="0" borderId="0" xfId="0"/>
    <x:xf numFmtId="3" fontId="0" fillId="0" borderId="1" xfId="0"/>
    <x:xf numFmtId="0" fontId="3" fillId="2" borderId="0" xfId="0" applyAlignment="1">
      <x:alignment horizontal="center"/>
    </x:xf>
    <x:xf numFmtId="0" fontId="3" fillId="2" borderId="1" xfId="0" applyAlignment="1">
      <x:alignment horizontal="center"/>
    </x:xf>
    <x:xf numFmtId="0" fontId="0" fillId="3" borderId="0" xfId="0"/>
    <x:xf numFmtId="0" fontId="0" fillId="3" borderId="1" xfId="0"/>
    <x:xf numFmtId="0" fontId="7" fillId="3" borderId="0" xfId="0"/>
    <x:xf numFmtId="0" fontId="7" fillId="3" borderId="1" xfId="0"/>
    <x:xf numFmtId="0" fontId="7" fillId="3" borderId="0" xfId="0" applyAlignment="1">
      <x:alignment horizontal="center"/>
    </x:xf>
    <x:xf numFmtId="0" fontId="7" fillId="3" borderId="1" xfId="0" applyAlignment="1">
      <x:alignment horizontal="center"/>
    </x:xf>
    <x:xf numFmtId="164" fontId="7" fillId="3" borderId="0" xfId="0" applyAlignment="1">
      <x:alignment horizontal="center"/>
    </x:xf>
    <x:xf numFmtId="164" fontId="7" fillId="3" borderId="1" xfId="0" applyAlignment="1">
      <x:alignment horizontal="center"/>
    </x:xf>
    <x:xf numFmtId="165" fontId="7" fillId="3" borderId="0" xfId="0" applyAlignment="1">
      <x:alignment horizontal="center"/>
    </x:xf>
    <x:xf numFmtId="165" fontId="7" fillId="3" borderId="1" xfId="0" applyAlignment="1">
      <x:alignment horizontal="center"/>
    </x:xf>
    <x:xf numFmtId="0" fontId="2" fillId="3" borderId="0" xfId="0"/>
    <x:xf numFmtId="0" fontId="2" fillId="3" borderId="1" xfId="0"/>
    <x:xf numFmtId="164" fontId="4" fillId="0" borderId="0" xfId="0"/>
    <x:xf numFmtId="164" fontId="0" fillId="0" borderId="0" xfId="0"/>
    <x:xf numFmtId="165" fontId="0" fillId="0" borderId="0" xfId="0"/>
    <x:xf numFmtId="164" fontId="5" fillId="0" borderId="0" xfId="0"/>
    <x:xf numFmtId="164" fontId="6" fillId="0" borderId="2" xfId="0"/>
    <x:xf numFmtId="165" fontId="5" fillId="0" borderId="0" xfId="0"/>
    <x:xf numFmtId="3" fontId="0" fillId="0" borderId="0" xfId="0"/>
    <x:xf numFmtId="164" fontId="7" fillId="3" borderId="1" xfId="0" applyAlignment="1">
      <x:alignment horizontal="center"/>
    </x:xf>
    <x:xf numFmtId="165" fontId="7" fillId="3" borderId="1" xfId="0" applyAlignment="1">
      <x:alignment horizontal="center"/>
    </x:xf>
  </x:cellXfs>
  <x:cellStyles count="1">
    <x:cellStyle name="Normal" xfId="0"/>
  </x:cellStyles>
  <x:dxfs count="6">
    <x:dxf>
      <x:font>
        <x:color rgb="FFC00000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659427e9b643c7" /><Relationship Type="http://schemas.openxmlformats.org/officeDocument/2006/relationships/theme" Target="/xl/theme/theme1.xml" Id="R0e58d91d5a204e17" /><Relationship Type="http://schemas.openxmlformats.org/officeDocument/2006/relationships/sharedStrings" Target="/xl/sharedStrings.xml" Id="R8d3b91c5a5c54905" /><Relationship Type="http://schemas.openxmlformats.org/officeDocument/2006/relationships/worksheet" Target="/xl/worksheets/sheet1.xml" Id="R43eb82e9547c4639" /><Relationship Type="http://schemas.openxmlformats.org/officeDocument/2006/relationships/worksheet" Target="/xl/worksheets/sheet2.xml" Id="R8cca89df4f5d41e8" /><Relationship Type="http://schemas.openxmlformats.org/officeDocument/2006/relationships/worksheet" Target="/xl/worksheets/sheet3.xml" Id="Rfc8f189ad9804248" /><Relationship Type="http://schemas.openxmlformats.org/officeDocument/2006/relationships/worksheet" Target="/xl/worksheets/sheet4.xml" Id="R08970f32454b4956" /><Relationship Type="http://schemas.openxmlformats.org/officeDocument/2006/relationships/worksheet" Target="/xl/worksheets/sheet5.xml" Id="R14e35abf15874711" /><Relationship Type="http://schemas.openxmlformats.org/officeDocument/2006/relationships/worksheet" Target="/xl/worksheets/sheet6.xml" Id="R4284095c42324cd9" /><Relationship Type="http://schemas.openxmlformats.org/officeDocument/2006/relationships/worksheet" Target="/xl/worksheets/sheet7.xml" Id="R22aaa14ba29043a4" /><Relationship Type="http://schemas.openxmlformats.org/officeDocument/2006/relationships/worksheet" Target="/xl/worksheets/sheet8.xml" Id="R647ee42eb9394e37" /><Relationship Type="http://schemas.openxmlformats.org/officeDocument/2006/relationships/worksheet" Target="/xl/worksheets/sheet9.xml" Id="R20134353d8b04a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19802faef74fb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4ad27aea4f14997" /><Relationship Type="http://schemas.openxmlformats.org/officeDocument/2006/relationships/chart" Target="/xl/drawings/charts/chart3.xml" Id="R09ae83783ceb4764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Break-even Chart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Revenue (£)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'Break-even Analysis'!$A$12:$A$22</c:f>
              <c:strCache>
                <c:ptCount val="0"/>
              </c:strCache>
            </c:strRef>
          </c:cat>
          <c:val>
            <c:numRef>
              <c:f>'Break-even Analysis'!$B$12:$B$22</c:f>
              <c:numCache>
                <c:formatCode>£#,##0;[Red](£#,##0);-</c:formatCode>
                <c:ptCount val="0"/>
              </c:numCache>
            </c:numRef>
          </c:val>
        </c:ser>
        <c:ser>
          <c:idx val="1"/>
          <c:order val="1"/>
          <c:tx>
            <c:v>Total Cost (£)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'Break-even Analysis'!$A$12:$A$22</c:f>
              <c:strCache>
                <c:ptCount val="0"/>
              </c:strCache>
            </c:strRef>
          </c:cat>
          <c:val>
            <c:numRef>
              <c:f>'Break-even Analysis'!$C$12:$C$22</c:f>
              <c:numCache>
                <c:formatCode>£#,##0;[Red](£#,##0);-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Revenue: Budget vs Actual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Jan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'KPI Dashboard'!$A$9:$A$10</c:f>
              <c:strCache>
                <c:ptCount val="0"/>
              </c:strCache>
            </c:strRef>
          </c:cat>
          <c:val>
            <c:numRef>
              <c:f>'KPI Dashboard'!$B$9:$B$10</c:f>
              <c:numCache>
                <c:formatCode>£#,##0;[Red](£#,##0);-</c:formatCode>
                <c:ptCount val="0"/>
              </c:numCache>
            </c:numRef>
          </c:val>
        </c:ser>
        <c:ser>
          <c:idx val="1"/>
          <c:order val="1"/>
          <c:tx>
            <c:v>Feb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'KPI Dashboard'!$A$9:$A$10</c:f>
              <c:strCache>
                <c:ptCount val="0"/>
              </c:strCache>
            </c:strRef>
          </c:cat>
          <c:val>
            <c:numRef>
              <c:f>'KPI Dashboard'!$C$9:$C$10</c:f>
              <c:numCache>
                <c:formatCode>£#,##0;[Red](£#,##0);-</c:formatCode>
                <c:ptCount val="0"/>
              </c:numCache>
            </c:numRef>
          </c:val>
        </c:ser>
        <c:ser>
          <c:idx val="2"/>
          <c:order val="2"/>
          <c:tx>
            <c:v>Mar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'KPI Dashboard'!$A$9:$A$10</c:f>
              <c:strCache>
                <c:ptCount val="0"/>
              </c:strCache>
            </c:strRef>
          </c:cat>
          <c:val>
            <c:numRef>
              <c:f>'KPI Dashboard'!$D$9:$D$10</c:f>
              <c:numCache>
                <c:formatCode>£#,##0;[Red](£#,##0);-</c:formatCode>
                <c:ptCount val="0"/>
              </c:numCache>
            </c:numRef>
          </c:val>
        </c:ser>
        <c:ser>
          <c:idx val="3"/>
          <c:order val="3"/>
          <c:tx>
            <c:v>Apr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'KPI Dashboard'!$A$9:$A$10</c:f>
              <c:strCache>
                <c:ptCount val="0"/>
              </c:strCache>
            </c:strRef>
          </c:cat>
          <c:val>
            <c:numRef>
              <c:f>'KPI Dashboard'!$E$9:$E$10</c:f>
              <c:numCache>
                <c:formatCode>£#,##0;[Red](£#,##0);-</c:formatCode>
                <c:ptCount val="0"/>
              </c:numCache>
            </c:numRef>
          </c:val>
        </c:ser>
        <c:ser>
          <c:idx val="4"/>
          <c:order val="4"/>
          <c:tx>
            <c:v>May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'KPI Dashboard'!$A$9:$A$10</c:f>
              <c:strCache>
                <c:ptCount val="0"/>
              </c:strCache>
            </c:strRef>
          </c:cat>
          <c:val>
            <c:numRef>
              <c:f>'KPI Dashboard'!$F$9:$F$10</c:f>
              <c:numCache>
                <c:formatCode>£#,##0;[Red](£#,##0);-</c:formatCode>
                <c:ptCount val="0"/>
              </c:numCache>
            </c:numRef>
          </c:val>
        </c:ser>
        <c:ser>
          <c:idx val="5"/>
          <c:order val="5"/>
          <c:tx>
            <c:v>Jun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'KPI Dashboard'!$A$9:$A$10</c:f>
              <c:strCache>
                <c:ptCount val="0"/>
              </c:strCache>
            </c:strRef>
          </c:cat>
          <c:val>
            <c:numRef>
              <c:f>'KPI Dashboard'!$G$9:$G$10</c:f>
              <c:numCache>
                <c:formatCode>£#,##0;[Red](£#,##0);-</c:formatCode>
                <c:ptCount val="0"/>
              </c:numCache>
            </c:numRef>
          </c:val>
        </c:ser>
        <c:ser>
          <c:idx val="6"/>
          <c:order val="6"/>
          <c:tx>
            <c:v>Jul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'KPI Dashboard'!$A$9:$A$10</c:f>
              <c:strCache>
                <c:ptCount val="0"/>
              </c:strCache>
            </c:strRef>
          </c:cat>
          <c:val>
            <c:numRef>
              <c:f>'KPI Dashboard'!$H$9:$H$10</c:f>
              <c:numCache>
                <c:formatCode>£#,##0;[Red](£#,##0);-</c:formatCode>
                <c:ptCount val="0"/>
              </c:numCache>
            </c:numRef>
          </c:val>
        </c:ser>
        <c:ser>
          <c:idx val="7"/>
          <c:order val="7"/>
          <c:tx>
            <c:v>Aug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'KPI Dashboard'!$A$9:$A$10</c:f>
              <c:strCache>
                <c:ptCount val="0"/>
              </c:strCache>
            </c:strRef>
          </c:cat>
          <c:val>
            <c:numRef>
              <c:f>'KPI Dashboard'!$I$9:$I$10</c:f>
              <c:numCache>
                <c:formatCode>£#,##0;[Red](£#,##0);-</c:formatCode>
                <c:ptCount val="0"/>
              </c:numCache>
            </c:numRef>
          </c:val>
        </c:ser>
        <c:ser>
          <c:idx val="8"/>
          <c:order val="8"/>
          <c:tx>
            <c:v>Sep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'KPI Dashboard'!$A$9:$A$10</c:f>
              <c:strCache>
                <c:ptCount val="0"/>
              </c:strCache>
            </c:strRef>
          </c:cat>
          <c:val>
            <c:numRef>
              <c:f>'KPI Dashboard'!$J$9:$J$10</c:f>
              <c:numCache>
                <c:formatCode>£#,##0;[Red](£#,##0);-</c:formatCode>
                <c:ptCount val="0"/>
              </c:numCache>
            </c:numRef>
          </c:val>
        </c:ser>
        <c:ser>
          <c:idx val="9"/>
          <c:order val="9"/>
          <c:tx>
            <c:v>Oct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'KPI Dashboard'!$A$9:$A$10</c:f>
              <c:strCache>
                <c:ptCount val="0"/>
              </c:strCache>
            </c:strRef>
          </c:cat>
          <c:val>
            <c:numRef>
              <c:f>'KPI Dashboard'!$K$9:$K$10</c:f>
              <c:numCache>
                <c:formatCode>£#,##0;[Red](£#,##0);-</c:formatCode>
                <c:ptCount val="0"/>
              </c:numCache>
            </c:numRef>
          </c:val>
        </c:ser>
        <c:ser>
          <c:idx val="10"/>
          <c:order val="10"/>
          <c:tx>
            <c:v>Nov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'KPI Dashboard'!$A$9:$A$10</c:f>
              <c:strCache>
                <c:ptCount val="0"/>
              </c:strCache>
            </c:strRef>
          </c:cat>
          <c:val>
            <c:numRef>
              <c:f>'KPI Dashboard'!$L$9:$L$10</c:f>
              <c:numCache>
                <c:formatCode>£#,##0;[Red](£#,##0);-</c:formatCode>
                <c:ptCount val="0"/>
              </c:numCache>
            </c:numRef>
          </c:val>
        </c:ser>
        <c:ser>
          <c:idx val="11"/>
          <c:order val="11"/>
          <c:tx>
            <c:v>Dec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'KPI Dashboard'!$A$9:$A$10</c:f>
              <c:strCache>
                <c:ptCount val="0"/>
              </c:strCache>
            </c:strRef>
          </c:cat>
          <c:val>
            <c:numRef>
              <c:f>'KPI Dashboard'!$M$9:$M$10</c:f>
              <c:numCache>
                <c:formatCode>£#,##0;[Red](£#,##0);-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Expenses: Budget vs Actual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Budget Expenses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'KPI Dashboard'!$B$8:$M$8</c:f>
              <c:strCache>
                <c:ptCount val="0"/>
              </c:strCache>
            </c:strRef>
          </c:cat>
          <c:val>
            <c:numRef>
              <c:f>'KPI Dashboard'!$B$11:$M$11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Actual Expenses</c:v>
          </c:tx>
          <c:spPr>
            <a:ln xmlns:a="http://schemas.openxmlformats.org/drawingml/2006/main">
              <a:prstDash val="solid"/>
            </a:ln>
          </c:spPr>
          <c:marker>
            <c:symbol val="none"/>
            <c:spPr>
              <a:ln xmlns:a="http://schemas.openxmlformats.org/drawingml/2006/main">
                <a:prstDash val="solid"/>
              </a:ln>
            </c:spPr>
          </c:marker>
          <c:cat>
            <c:strRef>
              <c:f>'KPI Dashboard'!$B$8:$M$8</c:f>
              <c:strCache>
                <c:ptCount val="0"/>
              </c:strCache>
            </c:strRef>
          </c:cat>
          <c:val>
            <c:numRef>
              <c:f>'KPI Dashboard'!$B$12:$M$12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19802faef74fb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ad27aea4f14997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9ae83783ceb476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enevolenceData" displayName="BenevolenceData" ref="A3:H15" headerRowCount="1" totalsRowCount="0" totalsRowShown="0">
  <x:tableColumns count="8">
    <x:tableColumn id="1" name="Month"/>
    <x:tableColumn id="2" name="Budget Revenue (£)"/>
    <x:tableColumn id="3" name="Actual Revenue (£)"/>
    <x:tableColumn id="4" name="Budget Expenses (£)"/>
    <x:tableColumn id="5" name="Actual Expenses (£)"/>
    <x:tableColumn id="6" name="Budget Net Income (£)"/>
    <x:tableColumn id="7" name="Actual Net Income (£)"/>
    <x:tableColumn id="8" name="Actual Marg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c0cd5ef4f746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cfca726294cd4c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cca033f7803d4f7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</x:cols>
  <x:sheetData>
    <x:row r="1">
      <x:c r="A1" s="5" t="str">
        <x:v>Benevolence Retail Group Ltd | 12-Month Budget vs Actual Data</x:v>
      </x:c>
      <x:c r="B1" s="1" t="n"/>
      <x:c r="C1" s="1" t="n"/>
      <x:c r="D1" s="1" t="n"/>
      <x:c r="E1" s="1" t="n"/>
      <x:c r="F1" s="1" t="n"/>
      <x:c r="G1" s="1" t="n"/>
      <x:c r="H1" s="1" t="n"/>
    </x:row>
    <x:row r="3">
      <x:c r="A3" s="12" t="inlineStr">
        <x:is>
          <x:t xml:space="preserve">Month</x:t>
        </x:is>
      </x:c>
      <x:c r="B3" s="12" t="inlineStr">
        <x:is>
          <x:t xml:space="preserve">Budget Revenue (£)</x:t>
        </x:is>
      </x:c>
      <x:c r="C3" s="12" t="inlineStr">
        <x:is>
          <x:t xml:space="preserve">Actual Revenue (£)</x:t>
        </x:is>
      </x:c>
      <x:c r="D3" s="12" t="inlineStr">
        <x:is>
          <x:t xml:space="preserve">Budget Expenses (£)</x:t>
        </x:is>
      </x:c>
      <x:c r="E3" s="12" t="inlineStr">
        <x:is>
          <x:t xml:space="preserve">Actual Expenses (£)</x:t>
        </x:is>
      </x:c>
      <x:c r="F3" s="12" t="inlineStr">
        <x:is>
          <x:t xml:space="preserve">Budget Net Income (£)</x:t>
        </x:is>
      </x:c>
      <x:c r="G3" s="12" t="inlineStr">
        <x:is>
          <x:t xml:space="preserve">Actual Net Income (£)</x:t>
        </x:is>
      </x:c>
      <x:c r="H3" s="12" t="inlineStr">
        <x:is>
          <x:t xml:space="preserve">Actual Margin</x:t>
        </x:is>
      </x:c>
    </x:row>
    <x:row r="4">
      <x:c r="A4" t="inlineStr">
        <x:is>
          <x:t xml:space="preserve">Jan</x:t>
        </x:is>
      </x:c>
      <x:c r="B4" s="52" t="n">
        <x:v>58000</x:v>
      </x:c>
      <x:c r="C4" s="52" t="n">
        <x:v>57000</x:v>
      </x:c>
      <x:c r="D4" s="52" t="n">
        <x:v>39000</x:v>
      </x:c>
      <x:c r="E4" s="52" t="n">
        <x:v>39500</x:v>
      </x:c>
      <x:c r="F4" s="53" t="n">
        <x:f>B4-D4</x:f>
        <x:v>19000</x:v>
      </x:c>
      <x:c r="G4" s="53" t="n">
        <x:f>C4-E4</x:f>
        <x:v>17500</x:v>
      </x:c>
      <x:c r="H4" s="54" t="n">
        <x:f>IFERROR(G4/C4,0)</x:f>
        <x:v>0.30701754385964913</x:v>
      </x:c>
    </x:row>
    <x:row r="5">
      <x:c r="A5" t="inlineStr">
        <x:is>
          <x:t xml:space="preserve">Feb</x:t>
        </x:is>
      </x:c>
      <x:c r="B5" s="52" t="n">
        <x:v>60000</x:v>
      </x:c>
      <x:c r="C5" s="52" t="n">
        <x:v>61500</x:v>
      </x:c>
      <x:c r="D5" s="52" t="n">
        <x:v>40000</x:v>
      </x:c>
      <x:c r="E5" s="52" t="n">
        <x:v>39700</x:v>
      </x:c>
      <x:c r="F5" s="53" t="n">
        <x:f>B5-D5</x:f>
        <x:v>20000</x:v>
      </x:c>
      <x:c r="G5" s="53" t="n">
        <x:f>C5-E5</x:f>
        <x:v>21800</x:v>
      </x:c>
      <x:c r="H5" s="54" t="n">
        <x:f>IFERROR(G5/C5,0)</x:f>
        <x:v>0.3544715447154472</x:v>
      </x:c>
    </x:row>
    <x:row r="6">
      <x:c r="A6" t="inlineStr">
        <x:is>
          <x:t xml:space="preserve">Mar</x:t>
        </x:is>
      </x:c>
      <x:c r="B6" s="52" t="n">
        <x:v>62000</x:v>
      </x:c>
      <x:c r="C6" s="52" t="n">
        <x:v>62500</x:v>
      </x:c>
      <x:c r="D6" s="52" t="n">
        <x:v>41000</x:v>
      </x:c>
      <x:c r="E6" s="52" t="n">
        <x:v>41800</x:v>
      </x:c>
      <x:c r="F6" s="53" t="n">
        <x:f>B6-D6</x:f>
        <x:v>21000</x:v>
      </x:c>
      <x:c r="G6" s="53" t="n">
        <x:f>C6-E6</x:f>
        <x:v>20700</x:v>
      </x:c>
      <x:c r="H6" s="54" t="n">
        <x:f>IFERROR(G6/C6,0)</x:f>
        <x:v>0.3312</x:v>
      </x:c>
    </x:row>
    <x:row r="7">
      <x:c r="A7" t="inlineStr">
        <x:is>
          <x:t xml:space="preserve">Apr</x:t>
        </x:is>
      </x:c>
      <x:c r="B7" s="52" t="n">
        <x:v>64000</x:v>
      </x:c>
      <x:c r="C7" s="52" t="n">
        <x:v>65500</x:v>
      </x:c>
      <x:c r="D7" s="52" t="n">
        <x:v>42000</x:v>
      </x:c>
      <x:c r="E7" s="52" t="n">
        <x:v>42100</x:v>
      </x:c>
      <x:c r="F7" s="53" t="n">
        <x:f>B7-D7</x:f>
        <x:v>22000</x:v>
      </x:c>
      <x:c r="G7" s="53" t="n">
        <x:f>C7-E7</x:f>
        <x:v>23400</x:v>
      </x:c>
      <x:c r="H7" s="54" t="n">
        <x:f>IFERROR(G7/C7,0)</x:f>
        <x:v>0.35725190839694654</x:v>
      </x:c>
    </x:row>
    <x:row r="8">
      <x:c r="A8" t="inlineStr">
        <x:is>
          <x:t xml:space="preserve">May</x:t>
        </x:is>
      </x:c>
      <x:c r="B8" s="52" t="n">
        <x:v>66000</x:v>
      </x:c>
      <x:c r="C8" s="52" t="n">
        <x:v>65000</x:v>
      </x:c>
      <x:c r="D8" s="52" t="n">
        <x:v>43000</x:v>
      </x:c>
      <x:c r="E8" s="52" t="n">
        <x:v>43800</x:v>
      </x:c>
      <x:c r="F8" s="53" t="n">
        <x:f>B8-D8</x:f>
        <x:v>23000</x:v>
      </x:c>
      <x:c r="G8" s="53" t="n">
        <x:f>C8-E8</x:f>
        <x:v>21200</x:v>
      </x:c>
      <x:c r="H8" s="54" t="n">
        <x:f>IFERROR(G8/C8,0)</x:f>
        <x:v>0.3261538461538461</x:v>
      </x:c>
    </x:row>
    <x:row r="9">
      <x:c r="A9" t="inlineStr">
        <x:is>
          <x:t xml:space="preserve">Jun</x:t>
        </x:is>
      </x:c>
      <x:c r="B9" s="52" t="n">
        <x:v>68000</x:v>
      </x:c>
      <x:c r="C9" s="52" t="n">
        <x:v>69500</x:v>
      </x:c>
      <x:c r="D9" s="52" t="n">
        <x:v>44000</x:v>
      </x:c>
      <x:c r="E9" s="52" t="n">
        <x:v>44100</x:v>
      </x:c>
      <x:c r="F9" s="53" t="n">
        <x:f>B9-D9</x:f>
        <x:v>24000</x:v>
      </x:c>
      <x:c r="G9" s="53" t="n">
        <x:f>C9-E9</x:f>
        <x:v>25400</x:v>
      </x:c>
      <x:c r="H9" s="54" t="n">
        <x:f>IFERROR(G9/C9,0)</x:f>
        <x:v>0.36546762589928056</x:v>
      </x:c>
    </x:row>
    <x:row r="10">
      <x:c r="A10" t="inlineStr">
        <x:is>
          <x:t xml:space="preserve">Jul</x:t>
        </x:is>
      </x:c>
      <x:c r="B10" s="52" t="n">
        <x:v>70000</x:v>
      </x:c>
      <x:c r="C10" s="52" t="n">
        <x:v>71500</x:v>
      </x:c>
      <x:c r="D10" s="52" t="n">
        <x:v>45000</x:v>
      </x:c>
      <x:c r="E10" s="52" t="n">
        <x:v>46200</x:v>
      </x:c>
      <x:c r="F10" s="53" t="n">
        <x:f>B10-D10</x:f>
        <x:v>25000</x:v>
      </x:c>
      <x:c r="G10" s="53" t="n">
        <x:f>C10-E10</x:f>
        <x:v>25300</x:v>
      </x:c>
      <x:c r="H10" s="54" t="n">
        <x:f>IFERROR(G10/C10,0)</x:f>
        <x:v>0.35384615384615387</x:v>
      </x:c>
    </x:row>
    <x:row r="11">
      <x:c r="A11" t="inlineStr">
        <x:is>
          <x:t xml:space="preserve">Aug</x:t>
        </x:is>
      </x:c>
      <x:c r="B11" s="52" t="n">
        <x:v>72000</x:v>
      </x:c>
      <x:c r="C11" s="52" t="n">
        <x:v>73000</x:v>
      </x:c>
      <x:c r="D11" s="52" t="n">
        <x:v>46000</x:v>
      </x:c>
      <x:c r="E11" s="52" t="n">
        <x:v>45800</x:v>
      </x:c>
      <x:c r="F11" s="53" t="n">
        <x:f>B11-D11</x:f>
        <x:v>26000</x:v>
      </x:c>
      <x:c r="G11" s="53" t="n">
        <x:f>C11-E11</x:f>
        <x:v>27200</x:v>
      </x:c>
      <x:c r="H11" s="54" t="n">
        <x:f>IFERROR(G11/C11,0)</x:f>
        <x:v>0.3726027397260274</x:v>
      </x:c>
    </x:row>
    <x:row r="12">
      <x:c r="A12" t="inlineStr">
        <x:is>
          <x:t xml:space="preserve">Sep</x:t>
        </x:is>
      </x:c>
      <x:c r="B12" s="52" t="n">
        <x:v>74000</x:v>
      </x:c>
      <x:c r="C12" s="52" t="n">
        <x:v>75500</x:v>
      </x:c>
      <x:c r="D12" s="52" t="n">
        <x:v>47000</x:v>
      </x:c>
      <x:c r="E12" s="52" t="n">
        <x:v>48100</x:v>
      </x:c>
      <x:c r="F12" s="53" t="n">
        <x:f>B12-D12</x:f>
        <x:v>27000</x:v>
      </x:c>
      <x:c r="G12" s="53" t="n">
        <x:f>C12-E12</x:f>
        <x:v>27400</x:v>
      </x:c>
      <x:c r="H12" s="54" t="n">
        <x:f>IFERROR(G12/C12,0)</x:f>
        <x:v>0.3629139072847682</x:v>
      </x:c>
    </x:row>
    <x:row r="13">
      <x:c r="A13" t="inlineStr">
        <x:is>
          <x:t xml:space="preserve">Oct</x:t>
        </x:is>
      </x:c>
      <x:c r="B13" s="52" t="n">
        <x:v>78000</x:v>
      </x:c>
      <x:c r="C13" s="52" t="n">
        <x:v>80500</x:v>
      </x:c>
      <x:c r="D13" s="52" t="n">
        <x:v>49000</x:v>
      </x:c>
      <x:c r="E13" s="52" t="n">
        <x:v>49500</x:v>
      </x:c>
      <x:c r="F13" s="53" t="n">
        <x:f>B13-D13</x:f>
        <x:v>29000</x:v>
      </x:c>
      <x:c r="G13" s="53" t="n">
        <x:f>C13-E13</x:f>
        <x:v>31000</x:v>
      </x:c>
      <x:c r="H13" s="54" t="n">
        <x:f>IFERROR(G13/C13,0)</x:f>
        <x:v>0.38509316770186336</x:v>
      </x:c>
    </x:row>
    <x:row r="14">
      <x:c r="A14" t="inlineStr">
        <x:is>
          <x:t xml:space="preserve">Nov</x:t>
        </x:is>
      </x:c>
      <x:c r="B14" s="52" t="n">
        <x:v>82000</x:v>
      </x:c>
      <x:c r="C14" s="52" t="n">
        <x:v>84500</x:v>
      </x:c>
      <x:c r="D14" s="52" t="n">
        <x:v>51000</x:v>
      </x:c>
      <x:c r="E14" s="52" t="n">
        <x:v>52300</x:v>
      </x:c>
      <x:c r="F14" s="53" t="n">
        <x:f>B14-D14</x:f>
        <x:v>31000</x:v>
      </x:c>
      <x:c r="G14" s="53" t="n">
        <x:f>C14-E14</x:f>
        <x:v>32200</x:v>
      </x:c>
      <x:c r="H14" s="54" t="n">
        <x:f>IFERROR(G14/C14,0)</x:f>
        <x:v>0.3810650887573965</x:v>
      </x:c>
    </x:row>
    <x:row r="15">
      <x:c r="A15" t="inlineStr">
        <x:is>
          <x:t xml:space="preserve">Dec</x:t>
        </x:is>
      </x:c>
      <x:c r="B15" s="52" t="n">
        <x:v>92000</x:v>
      </x:c>
      <x:c r="C15" s="52" t="n">
        <x:v>95500</x:v>
      </x:c>
      <x:c r="D15" s="52" t="n">
        <x:v>56000</x:v>
      </x:c>
      <x:c r="E15" s="52" t="n">
        <x:v>57900</x:v>
      </x:c>
      <x:c r="F15" s="53" t="n">
        <x:f>B15-D15</x:f>
        <x:v>36000</x:v>
      </x:c>
      <x:c r="G15" s="53" t="n">
        <x:f>C15-E15</x:f>
        <x:v>37600</x:v>
      </x:c>
      <x:c r="H15" s="54" t="n">
        <x:f>IFERROR(G15/C15,0)</x:f>
        <x:v>0.393717277486911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ddc0cd5ef4f746b7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9" customWidth="1"/>
    <x:col min="2" max="2" width="19" customWidth="1"/>
    <x:col min="3" max="3" width="19" customWidth="1"/>
    <x:col min="4" max="4" width="19" customWidth="1"/>
    <x:col min="5" max="5" width="19" customWidth="1"/>
    <x:col min="6" max="6" width="19" customWidth="1"/>
    <x:col min="7" max="7" width="19" customWidth="1"/>
    <x:col min="8" max="8" width="19" customWidth="1"/>
    <x:col min="9" max="9" width="19" customWidth="1"/>
  </x:cols>
  <x:sheetData>
    <x:row r="1">
      <x:c r="A1" s="5" t="str">
        <x:v>Benevolence Retail Group Ltd | FP&amp;A Budget vs Actual Analysis</x:v>
      </x:c>
      <x:c r="B1" s="1" t="n"/>
      <x:c r="C1" s="1" t="n"/>
      <x:c r="D1" s="1" t="n"/>
      <x:c r="E1" s="1" t="n"/>
      <x:c r="F1" s="1" t="n"/>
      <x:c r="G1" s="1" t="n"/>
      <x:c r="H1" s="1" t="n"/>
      <x:c r="I1" s="1" t="n"/>
    </x:row>
    <x:row r="3">
      <x:c r="A3" s="12" t="inlineStr">
        <x:is>
          <x:t xml:space="preserve">Month</x:t>
        </x:is>
      </x:c>
      <x:c r="B3" s="12" t="inlineStr">
        <x:is>
          <x:t xml:space="preserve">Budget Revenue (£)</x:t>
        </x:is>
      </x:c>
      <x:c r="C3" s="12" t="inlineStr">
        <x:is>
          <x:t xml:space="preserve">Actual Revenue (£)</x:t>
        </x:is>
      </x:c>
      <x:c r="D3" s="12" t="inlineStr">
        <x:is>
          <x:t xml:space="preserve">Revenue Variance (£)</x:t>
        </x:is>
      </x:c>
      <x:c r="E3" s="12" t="inlineStr">
        <x:is>
          <x:t xml:space="preserve">Budget Expenses (£)</x:t>
        </x:is>
      </x:c>
      <x:c r="F3" s="12" t="inlineStr">
        <x:is>
          <x:t xml:space="preserve">Actual Expenses (£)</x:t>
        </x:is>
      </x:c>
      <x:c r="G3" s="12" t="inlineStr">
        <x:is>
          <x:t xml:space="preserve">Expense Variance (£)</x:t>
        </x:is>
      </x:c>
      <x:c r="H3" s="12" t="inlineStr">
        <x:is>
          <x:t xml:space="preserve">Budget Net Income (£)</x:t>
        </x:is>
      </x:c>
      <x:c r="I3" s="12" t="inlineStr">
        <x:is>
          <x:t xml:space="preserve">Actual Net Income (£)</x:t>
        </x:is>
      </x:c>
    </x:row>
    <x:row r="4">
      <x:c r="A4" s="26" t="str">
        <x:f>Data!A4</x:f>
        <x:v>Jan</x:v>
      </x:c>
      <x:c r="B4" s="55" t="n">
        <x:f>Data!B4</x:f>
        <x:v>58000</x:v>
      </x:c>
      <x:c r="C4" s="55" t="n">
        <x:f>Data!C4</x:f>
        <x:v>57000</x:v>
      </x:c>
      <x:c r="D4" s="55" t="n">
        <x:f>C4-B4</x:f>
        <x:v>-1000</x:v>
      </x:c>
      <x:c r="E4" s="55" t="n">
        <x:f>Data!D4</x:f>
        <x:v>39000</x:v>
      </x:c>
      <x:c r="F4" s="55" t="n">
        <x:f>Data!E4</x:f>
        <x:v>39500</x:v>
      </x:c>
      <x:c r="G4" s="55" t="n">
        <x:f>E4-F4</x:f>
        <x:v>-500</x:v>
      </x:c>
      <x:c r="H4" s="55" t="n">
        <x:f>Data!F4</x:f>
        <x:v>19000</x:v>
      </x:c>
      <x:c r="I4" s="55" t="n">
        <x:f>Data!G4</x:f>
        <x:v>17500</x:v>
      </x:c>
    </x:row>
    <x:row r="5">
      <x:c r="A5" s="26" t="str">
        <x:f>Data!A5</x:f>
        <x:v>Feb</x:v>
      </x:c>
      <x:c r="B5" s="55" t="n">
        <x:f>Data!B5</x:f>
        <x:v>60000</x:v>
      </x:c>
      <x:c r="C5" s="55" t="n">
        <x:f>Data!C5</x:f>
        <x:v>61500</x:v>
      </x:c>
      <x:c r="D5" s="55" t="n">
        <x:f>C5-B5</x:f>
        <x:v>1500</x:v>
      </x:c>
      <x:c r="E5" s="55" t="n">
        <x:f>Data!D5</x:f>
        <x:v>40000</x:v>
      </x:c>
      <x:c r="F5" s="55" t="n">
        <x:f>Data!E5</x:f>
        <x:v>39700</x:v>
      </x:c>
      <x:c r="G5" s="55" t="n">
        <x:f>E5-F5</x:f>
        <x:v>300</x:v>
      </x:c>
      <x:c r="H5" s="55" t="n">
        <x:f>Data!F5</x:f>
        <x:v>20000</x:v>
      </x:c>
      <x:c r="I5" s="55" t="n">
        <x:f>Data!G5</x:f>
        <x:v>21800</x:v>
      </x:c>
    </x:row>
    <x:row r="6">
      <x:c r="A6" s="26" t="str">
        <x:f>Data!A6</x:f>
        <x:v>Mar</x:v>
      </x:c>
      <x:c r="B6" s="55" t="n">
        <x:f>Data!B6</x:f>
        <x:v>62000</x:v>
      </x:c>
      <x:c r="C6" s="55" t="n">
        <x:f>Data!C6</x:f>
        <x:v>62500</x:v>
      </x:c>
      <x:c r="D6" s="55" t="n">
        <x:f>C6-B6</x:f>
        <x:v>500</x:v>
      </x:c>
      <x:c r="E6" s="55" t="n">
        <x:f>Data!D6</x:f>
        <x:v>41000</x:v>
      </x:c>
      <x:c r="F6" s="55" t="n">
        <x:f>Data!E6</x:f>
        <x:v>41800</x:v>
      </x:c>
      <x:c r="G6" s="55" t="n">
        <x:f>E6-F6</x:f>
        <x:v>-800</x:v>
      </x:c>
      <x:c r="H6" s="55" t="n">
        <x:f>Data!F6</x:f>
        <x:v>21000</x:v>
      </x:c>
      <x:c r="I6" s="55" t="n">
        <x:f>Data!G6</x:f>
        <x:v>20700</x:v>
      </x:c>
    </x:row>
    <x:row r="7">
      <x:c r="A7" s="26" t="str">
        <x:f>Data!A7</x:f>
        <x:v>Apr</x:v>
      </x:c>
      <x:c r="B7" s="55" t="n">
        <x:f>Data!B7</x:f>
        <x:v>64000</x:v>
      </x:c>
      <x:c r="C7" s="55" t="n">
        <x:f>Data!C7</x:f>
        <x:v>65500</x:v>
      </x:c>
      <x:c r="D7" s="55" t="n">
        <x:f>C7-B7</x:f>
        <x:v>1500</x:v>
      </x:c>
      <x:c r="E7" s="55" t="n">
        <x:f>Data!D7</x:f>
        <x:v>42000</x:v>
      </x:c>
      <x:c r="F7" s="55" t="n">
        <x:f>Data!E7</x:f>
        <x:v>42100</x:v>
      </x:c>
      <x:c r="G7" s="55" t="n">
        <x:f>E7-F7</x:f>
        <x:v>-100</x:v>
      </x:c>
      <x:c r="H7" s="55" t="n">
        <x:f>Data!F7</x:f>
        <x:v>22000</x:v>
      </x:c>
      <x:c r="I7" s="55" t="n">
        <x:f>Data!G7</x:f>
        <x:v>23400</x:v>
      </x:c>
    </x:row>
    <x:row r="8">
      <x:c r="A8" s="26" t="str">
        <x:f>Data!A8</x:f>
        <x:v>May</x:v>
      </x:c>
      <x:c r="B8" s="55" t="n">
        <x:f>Data!B8</x:f>
        <x:v>66000</x:v>
      </x:c>
      <x:c r="C8" s="55" t="n">
        <x:f>Data!C8</x:f>
        <x:v>65000</x:v>
      </x:c>
      <x:c r="D8" s="55" t="n">
        <x:f>C8-B8</x:f>
        <x:v>-1000</x:v>
      </x:c>
      <x:c r="E8" s="55" t="n">
        <x:f>Data!D8</x:f>
        <x:v>43000</x:v>
      </x:c>
      <x:c r="F8" s="55" t="n">
        <x:f>Data!E8</x:f>
        <x:v>43800</x:v>
      </x:c>
      <x:c r="G8" s="55" t="n">
        <x:f>E8-F8</x:f>
        <x:v>-800</x:v>
      </x:c>
      <x:c r="H8" s="55" t="n">
        <x:f>Data!F8</x:f>
        <x:v>23000</x:v>
      </x:c>
      <x:c r="I8" s="55" t="n">
        <x:f>Data!G8</x:f>
        <x:v>21200</x:v>
      </x:c>
    </x:row>
    <x:row r="9">
      <x:c r="A9" s="26" t="str">
        <x:f>Data!A9</x:f>
        <x:v>Jun</x:v>
      </x:c>
      <x:c r="B9" s="55" t="n">
        <x:f>Data!B9</x:f>
        <x:v>68000</x:v>
      </x:c>
      <x:c r="C9" s="55" t="n">
        <x:f>Data!C9</x:f>
        <x:v>69500</x:v>
      </x:c>
      <x:c r="D9" s="55" t="n">
        <x:f>C9-B9</x:f>
        <x:v>1500</x:v>
      </x:c>
      <x:c r="E9" s="55" t="n">
        <x:f>Data!D9</x:f>
        <x:v>44000</x:v>
      </x:c>
      <x:c r="F9" s="55" t="n">
        <x:f>Data!E9</x:f>
        <x:v>44100</x:v>
      </x:c>
      <x:c r="G9" s="55" t="n">
        <x:f>E9-F9</x:f>
        <x:v>-100</x:v>
      </x:c>
      <x:c r="H9" s="55" t="n">
        <x:f>Data!F9</x:f>
        <x:v>24000</x:v>
      </x:c>
      <x:c r="I9" s="55" t="n">
        <x:f>Data!G9</x:f>
        <x:v>25400</x:v>
      </x:c>
    </x:row>
    <x:row r="10">
      <x:c r="A10" s="26" t="str">
        <x:f>Data!A10</x:f>
        <x:v>Jul</x:v>
      </x:c>
      <x:c r="B10" s="55" t="n">
        <x:f>Data!B10</x:f>
        <x:v>70000</x:v>
      </x:c>
      <x:c r="C10" s="55" t="n">
        <x:f>Data!C10</x:f>
        <x:v>71500</x:v>
      </x:c>
      <x:c r="D10" s="55" t="n">
        <x:f>C10-B10</x:f>
        <x:v>1500</x:v>
      </x:c>
      <x:c r="E10" s="55" t="n">
        <x:f>Data!D10</x:f>
        <x:v>45000</x:v>
      </x:c>
      <x:c r="F10" s="55" t="n">
        <x:f>Data!E10</x:f>
        <x:v>46200</x:v>
      </x:c>
      <x:c r="G10" s="55" t="n">
        <x:f>E10-F10</x:f>
        <x:v>-1200</x:v>
      </x:c>
      <x:c r="H10" s="55" t="n">
        <x:f>Data!F10</x:f>
        <x:v>25000</x:v>
      </x:c>
      <x:c r="I10" s="55" t="n">
        <x:f>Data!G10</x:f>
        <x:v>25300</x:v>
      </x:c>
    </x:row>
    <x:row r="11">
      <x:c r="A11" s="26" t="str">
        <x:f>Data!A11</x:f>
        <x:v>Aug</x:v>
      </x:c>
      <x:c r="B11" s="55" t="n">
        <x:f>Data!B11</x:f>
        <x:v>72000</x:v>
      </x:c>
      <x:c r="C11" s="55" t="n">
        <x:f>Data!C11</x:f>
        <x:v>73000</x:v>
      </x:c>
      <x:c r="D11" s="55" t="n">
        <x:f>C11-B11</x:f>
        <x:v>1000</x:v>
      </x:c>
      <x:c r="E11" s="55" t="n">
        <x:f>Data!D11</x:f>
        <x:v>46000</x:v>
      </x:c>
      <x:c r="F11" s="55" t="n">
        <x:f>Data!E11</x:f>
        <x:v>45800</x:v>
      </x:c>
      <x:c r="G11" s="55" t="n">
        <x:f>E11-F11</x:f>
        <x:v>200</x:v>
      </x:c>
      <x:c r="H11" s="55" t="n">
        <x:f>Data!F11</x:f>
        <x:v>26000</x:v>
      </x:c>
      <x:c r="I11" s="55" t="n">
        <x:f>Data!G11</x:f>
        <x:v>27200</x:v>
      </x:c>
    </x:row>
    <x:row r="12">
      <x:c r="A12" s="26" t="str">
        <x:f>Data!A12</x:f>
        <x:v>Sep</x:v>
      </x:c>
      <x:c r="B12" s="55" t="n">
        <x:f>Data!B12</x:f>
        <x:v>74000</x:v>
      </x:c>
      <x:c r="C12" s="55" t="n">
        <x:f>Data!C12</x:f>
        <x:v>75500</x:v>
      </x:c>
      <x:c r="D12" s="55" t="n">
        <x:f>C12-B12</x:f>
        <x:v>1500</x:v>
      </x:c>
      <x:c r="E12" s="55" t="n">
        <x:f>Data!D12</x:f>
        <x:v>47000</x:v>
      </x:c>
      <x:c r="F12" s="55" t="n">
        <x:f>Data!E12</x:f>
        <x:v>48100</x:v>
      </x:c>
      <x:c r="G12" s="55" t="n">
        <x:f>E12-F12</x:f>
        <x:v>-1100</x:v>
      </x:c>
      <x:c r="H12" s="55" t="n">
        <x:f>Data!F12</x:f>
        <x:v>27000</x:v>
      </x:c>
      <x:c r="I12" s="55" t="n">
        <x:f>Data!G12</x:f>
        <x:v>27400</x:v>
      </x:c>
    </x:row>
    <x:row r="13">
      <x:c r="A13" s="26" t="str">
        <x:f>Data!A13</x:f>
        <x:v>Oct</x:v>
      </x:c>
      <x:c r="B13" s="55" t="n">
        <x:f>Data!B13</x:f>
        <x:v>78000</x:v>
      </x:c>
      <x:c r="C13" s="55" t="n">
        <x:f>Data!C13</x:f>
        <x:v>80500</x:v>
      </x:c>
      <x:c r="D13" s="55" t="n">
        <x:f>C13-B13</x:f>
        <x:v>2500</x:v>
      </x:c>
      <x:c r="E13" s="55" t="n">
        <x:f>Data!D13</x:f>
        <x:v>49000</x:v>
      </x:c>
      <x:c r="F13" s="55" t="n">
        <x:f>Data!E13</x:f>
        <x:v>49500</x:v>
      </x:c>
      <x:c r="G13" s="55" t="n">
        <x:f>E13-F13</x:f>
        <x:v>-500</x:v>
      </x:c>
      <x:c r="H13" s="55" t="n">
        <x:f>Data!F13</x:f>
        <x:v>29000</x:v>
      </x:c>
      <x:c r="I13" s="55" t="n">
        <x:f>Data!G13</x:f>
        <x:v>31000</x:v>
      </x:c>
    </x:row>
    <x:row r="14">
      <x:c r="A14" s="26" t="str">
        <x:f>Data!A14</x:f>
        <x:v>Nov</x:v>
      </x:c>
      <x:c r="B14" s="55" t="n">
        <x:f>Data!B14</x:f>
        <x:v>82000</x:v>
      </x:c>
      <x:c r="C14" s="55" t="n">
        <x:f>Data!C14</x:f>
        <x:v>84500</x:v>
      </x:c>
      <x:c r="D14" s="55" t="n">
        <x:f>C14-B14</x:f>
        <x:v>2500</x:v>
      </x:c>
      <x:c r="E14" s="55" t="n">
        <x:f>Data!D14</x:f>
        <x:v>51000</x:v>
      </x:c>
      <x:c r="F14" s="55" t="n">
        <x:f>Data!E14</x:f>
        <x:v>52300</x:v>
      </x:c>
      <x:c r="G14" s="55" t="n">
        <x:f>E14-F14</x:f>
        <x:v>-1300</x:v>
      </x:c>
      <x:c r="H14" s="55" t="n">
        <x:f>Data!F14</x:f>
        <x:v>31000</x:v>
      </x:c>
      <x:c r="I14" s="55" t="n">
        <x:f>Data!G14</x:f>
        <x:v>32200</x:v>
      </x:c>
    </x:row>
    <x:row r="15">
      <x:c r="A15" s="26" t="str">
        <x:f>Data!A15</x:f>
        <x:v>Dec</x:v>
      </x:c>
      <x:c r="B15" s="55" t="n">
        <x:f>Data!B15</x:f>
        <x:v>92000</x:v>
      </x:c>
      <x:c r="C15" s="55" t="n">
        <x:f>Data!C15</x:f>
        <x:v>95500</x:v>
      </x:c>
      <x:c r="D15" s="55" t="n">
        <x:f>C15-B15</x:f>
        <x:v>3500</x:v>
      </x:c>
      <x:c r="E15" s="55" t="n">
        <x:f>Data!D15</x:f>
        <x:v>56000</x:v>
      </x:c>
      <x:c r="F15" s="55" t="n">
        <x:f>Data!E15</x:f>
        <x:v>57900</x:v>
      </x:c>
      <x:c r="G15" s="55" t="n">
        <x:f>E15-F15</x:f>
        <x:v>-1900</x:v>
      </x:c>
      <x:c r="H15" s="55" t="n">
        <x:f>Data!F15</x:f>
        <x:v>36000</x:v>
      </x:c>
      <x:c r="I15" s="55" t="n">
        <x:f>Data!G15</x:f>
        <x:v>37600</x:v>
      </x:c>
    </x:row>
    <x:row r="16">
      <x:c r="A16" s="28" t="inlineStr">
        <x:is>
          <x:t xml:space="preserve">FY2026</x:t>
        </x:is>
      </x:c>
      <x:c r="B16" s="56" t="n">
        <x:f>SUM(B4:B15)</x:f>
        <x:v>846000</x:v>
      </x:c>
      <x:c r="C16" s="56" t="n">
        <x:f>SUM(C4:C15)</x:f>
        <x:v>861500</x:v>
      </x:c>
      <x:c r="D16" s="56" t="n">
        <x:f>SUM(D4:D15)</x:f>
        <x:v>15500</x:v>
      </x:c>
      <x:c r="E16" s="56" t="n">
        <x:f>SUM(E4:E15)</x:f>
        <x:v>543000</x:v>
      </x:c>
      <x:c r="F16" s="56" t="n">
        <x:f>SUM(F4:F15)</x:f>
        <x:v>550800</x:v>
      </x:c>
      <x:c r="G16" s="56" t="n">
        <x:f>SUM(G4:G15)</x:f>
        <x:v>-7800</x:v>
      </x:c>
      <x:c r="H16" s="56" t="n">
        <x:f>SUM(H4:H15)</x:f>
        <x:v>303000</x:v>
      </x:c>
      <x:c r="I16" s="56" t="n">
        <x:f>SUM(I4:I15)</x:f>
        <x:v>310700</x:v>
      </x:c>
    </x:row>
  </x:sheetData>
  <x:mergeCells>
    <x:mergeCell ref="A1:I1"/>
  </x:mergeCells>
  <x:conditionalFormatting sqref="D4:D16">
    <x:cfRule type="expression" dxfId="0" priority="1">
      <x:formula>D4&lt;0</x:formula>
    </x:cfRule>
    <x:cfRule type="expression" dxfId="1" priority="2">
      <x:formula>D4&gt;0</x:formula>
    </x:cfRule>
  </x:conditionalFormatting>
  <x:conditionalFormatting sqref="G4:G16">
    <x:cfRule type="expression" dxfId="0" priority="3">
      <x:formula>G4&lt;0</x:formula>
    </x:cfRule>
    <x:cfRule type="expression" dxfId="1" priority="4">
      <x:formula>G4&gt;0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</x:cols>
  <x:sheetData>
    <x:row r="1">
      <x:c r="A1" s="5" t="str">
        <x:v>Benevolence Retail Group Ltd | Monthly Profit &amp; Loss</x:v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</x:row>
    <x:row r="3">
      <x:c r="A3" s="12" t="inlineStr">
        <x:is>
          <x:t xml:space="preserve">Metric</x:t>
        </x:is>
      </x:c>
      <x:c r="B3" s="12" t="inlineStr">
        <x:is>
          <x:t xml:space="preserve">Jan</x:t>
        </x:is>
      </x:c>
      <x:c r="C3" s="12" t="inlineStr">
        <x:is>
          <x:t xml:space="preserve">Feb</x:t>
        </x:is>
      </x:c>
      <x:c r="D3" s="12" t="inlineStr">
        <x:is>
          <x:t xml:space="preserve">Mar</x:t>
        </x:is>
      </x:c>
      <x:c r="E3" s="12" t="inlineStr">
        <x:is>
          <x:t xml:space="preserve">Apr</x:t>
        </x:is>
      </x:c>
      <x:c r="F3" s="12" t="inlineStr">
        <x:is>
          <x:t xml:space="preserve">May</x:t>
        </x:is>
      </x:c>
      <x:c r="G3" s="12" t="inlineStr">
        <x:is>
          <x:t xml:space="preserve">Jun</x:t>
        </x:is>
      </x:c>
      <x:c r="H3" s="12" t="inlineStr">
        <x:is>
          <x:t xml:space="preserve">Jul</x:t>
        </x:is>
      </x:c>
      <x:c r="I3" s="12" t="inlineStr">
        <x:is>
          <x:t xml:space="preserve">Aug</x:t>
        </x:is>
      </x:c>
      <x:c r="J3" s="12" t="inlineStr">
        <x:is>
          <x:t xml:space="preserve">Sep</x:t>
        </x:is>
      </x:c>
      <x:c r="K3" s="12" t="inlineStr">
        <x:is>
          <x:t xml:space="preserve">Oct</x:t>
        </x:is>
      </x:c>
      <x:c r="L3" s="12" t="inlineStr">
        <x:is>
          <x:t xml:space="preserve">Nov</x:t>
        </x:is>
      </x:c>
      <x:c r="M3" s="12" t="inlineStr">
        <x:is>
          <x:t xml:space="preserve">Dec</x:t>
        </x:is>
      </x:c>
      <x:c r="N3" s="12" t="inlineStr">
        <x:is>
          <x:t xml:space="preserve">FY2026</x:t>
        </x:is>
      </x:c>
    </x:row>
    <x:row r="4">
      <x:c r="A4" t="inlineStr">
        <x:is>
          <x:t xml:space="preserve">Revenue</x:t>
        </x:is>
      </x:c>
      <x:c r="B4" s="55" t="n">
        <x:f>Data!C4</x:f>
        <x:v>57000</x:v>
      </x:c>
      <x:c r="C4" s="55" t="n">
        <x:f>Data!C5</x:f>
        <x:v>61500</x:v>
      </x:c>
      <x:c r="D4" s="55" t="n">
        <x:f>Data!C6</x:f>
        <x:v>62500</x:v>
      </x:c>
      <x:c r="E4" s="55" t="n">
        <x:f>Data!C7</x:f>
        <x:v>65500</x:v>
      </x:c>
      <x:c r="F4" s="55" t="n">
        <x:f>Data!C8</x:f>
        <x:v>65000</x:v>
      </x:c>
      <x:c r="G4" s="55" t="n">
        <x:f>Data!C9</x:f>
        <x:v>69500</x:v>
      </x:c>
      <x:c r="H4" s="55" t="n">
        <x:f>Data!C10</x:f>
        <x:v>71500</x:v>
      </x:c>
      <x:c r="I4" s="55" t="n">
        <x:f>Data!C11</x:f>
        <x:v>73000</x:v>
      </x:c>
      <x:c r="J4" s="55" t="n">
        <x:f>Data!C12</x:f>
        <x:v>75500</x:v>
      </x:c>
      <x:c r="K4" s="55" t="n">
        <x:f>Data!C13</x:f>
        <x:v>80500</x:v>
      </x:c>
      <x:c r="L4" s="55" t="n">
        <x:f>Data!C14</x:f>
        <x:v>84500</x:v>
      </x:c>
      <x:c r="M4" s="55" t="n">
        <x:f>Data!C15</x:f>
        <x:v>95500</x:v>
      </x:c>
      <x:c r="N4" s="55" t="n">
        <x:f>SUM(B4:M4)</x:f>
        <x:v>861500</x:v>
      </x:c>
    </x:row>
    <x:row r="5">
      <x:c r="A5" t="inlineStr">
        <x:is>
          <x:t xml:space="preserve">Expenses</x:t>
        </x:is>
      </x:c>
      <x:c r="B5" s="55" t="n">
        <x:f>Data!E4</x:f>
        <x:v>39500</x:v>
      </x:c>
      <x:c r="C5" s="55" t="n">
        <x:f>Data!E5</x:f>
        <x:v>39700</x:v>
      </x:c>
      <x:c r="D5" s="55" t="n">
        <x:f>Data!E6</x:f>
        <x:v>41800</x:v>
      </x:c>
      <x:c r="E5" s="55" t="n">
        <x:f>Data!E7</x:f>
        <x:v>42100</x:v>
      </x:c>
      <x:c r="F5" s="55" t="n">
        <x:f>Data!E8</x:f>
        <x:v>43800</x:v>
      </x:c>
      <x:c r="G5" s="55" t="n">
        <x:f>Data!E9</x:f>
        <x:v>44100</x:v>
      </x:c>
      <x:c r="H5" s="55" t="n">
        <x:f>Data!E10</x:f>
        <x:v>46200</x:v>
      </x:c>
      <x:c r="I5" s="55" t="n">
        <x:f>Data!E11</x:f>
        <x:v>45800</x:v>
      </x:c>
      <x:c r="J5" s="55" t="n">
        <x:f>Data!E12</x:f>
        <x:v>48100</x:v>
      </x:c>
      <x:c r="K5" s="55" t="n">
        <x:f>Data!E13</x:f>
        <x:v>49500</x:v>
      </x:c>
      <x:c r="L5" s="55" t="n">
        <x:f>Data!E14</x:f>
        <x:v>52300</x:v>
      </x:c>
      <x:c r="M5" s="55" t="n">
        <x:f>Data!E15</x:f>
        <x:v>57900</x:v>
      </x:c>
      <x:c r="N5" s="55" t="n">
        <x:f>SUM(B5:M5)</x:f>
        <x:v>550800</x:v>
      </x:c>
    </x:row>
    <x:row r="6">
      <x:c r="A6" t="inlineStr">
        <x:is>
          <x:t xml:space="preserve">Net Income</x:t>
        </x:is>
      </x:c>
      <x:c r="B6" s="55" t="n">
        <x:f>B4-B5</x:f>
        <x:v>17500</x:v>
      </x:c>
      <x:c r="C6" s="55" t="n">
        <x:f>C4-C5</x:f>
        <x:v>21800</x:v>
      </x:c>
      <x:c r="D6" s="55" t="n">
        <x:f>D4-D5</x:f>
        <x:v>20700</x:v>
      </x:c>
      <x:c r="E6" s="55" t="n">
        <x:f>E4-E5</x:f>
        <x:v>23400</x:v>
      </x:c>
      <x:c r="F6" s="55" t="n">
        <x:f>F4-F5</x:f>
        <x:v>21200</x:v>
      </x:c>
      <x:c r="G6" s="55" t="n">
        <x:f>G4-G5</x:f>
        <x:v>25400</x:v>
      </x:c>
      <x:c r="H6" s="55" t="n">
        <x:f>H4-H5</x:f>
        <x:v>25300</x:v>
      </x:c>
      <x:c r="I6" s="55" t="n">
        <x:f>I4-I5</x:f>
        <x:v>27200</x:v>
      </x:c>
      <x:c r="J6" s="55" t="n">
        <x:f>J4-J5</x:f>
        <x:v>27400</x:v>
      </x:c>
      <x:c r="K6" s="55" t="n">
        <x:f>K4-K5</x:f>
        <x:v>31000</x:v>
      </x:c>
      <x:c r="L6" s="55" t="n">
        <x:f>L4-L5</x:f>
        <x:v>32200</x:v>
      </x:c>
      <x:c r="M6" s="55" t="n">
        <x:f>M4-M5</x:f>
        <x:v>37600</x:v>
      </x:c>
      <x:c r="N6" s="55" t="n">
        <x:f>SUM(B6:M6)</x:f>
        <x:v>310700</x:v>
      </x:c>
    </x:row>
    <x:row r="7">
      <x:c r="A7" t="inlineStr">
        <x:is>
          <x:t xml:space="preserve">Profit Margin</x:t>
        </x:is>
      </x:c>
      <x:c r="B7" s="57" t="n">
        <x:f>IFERROR(B6/B4,0)</x:f>
        <x:v>0.30701754385964913</x:v>
      </x:c>
      <x:c r="C7" s="57" t="n">
        <x:f>IFERROR(C6/C4,0)</x:f>
        <x:v>0.3544715447154472</x:v>
      </x:c>
      <x:c r="D7" s="57" t="n">
        <x:f>IFERROR(D6/D4,0)</x:f>
        <x:v>0.3312</x:v>
      </x:c>
      <x:c r="E7" s="57" t="n">
        <x:f>IFERROR(E6/E4,0)</x:f>
        <x:v>0.35725190839694654</x:v>
      </x:c>
      <x:c r="F7" s="57" t="n">
        <x:f>IFERROR(F6/F4,0)</x:f>
        <x:v>0.3261538461538461</x:v>
      </x:c>
      <x:c r="G7" s="57" t="n">
        <x:f>IFERROR(G6/G4,0)</x:f>
        <x:v>0.36546762589928056</x:v>
      </x:c>
      <x:c r="H7" s="57" t="n">
        <x:f>IFERROR(H6/H4,0)</x:f>
        <x:v>0.35384615384615387</x:v>
      </x:c>
      <x:c r="I7" s="57" t="n">
        <x:f>IFERROR(I6/I4,0)</x:f>
        <x:v>0.3726027397260274</x:v>
      </x:c>
      <x:c r="J7" s="57" t="n">
        <x:f>IFERROR(J6/J4,0)</x:f>
        <x:v>0.3629139072847682</x:v>
      </x:c>
      <x:c r="K7" s="57" t="n">
        <x:f>IFERROR(K6/K4,0)</x:f>
        <x:v>0.38509316770186336</x:v>
      </x:c>
      <x:c r="L7" s="57" t="n">
        <x:f>IFERROR(L6/L4,0)</x:f>
        <x:v>0.3810650887573965</x:v>
      </x:c>
      <x:c r="M7" s="57" t="n">
        <x:f>IFERROR(M6/M4,0)</x:f>
        <x:v>0.393717277486911</x:v>
      </x:c>
      <x:c r="N7" s="57" t="n">
        <x:f>IFERROR(N6/N4,0)</x:f>
        <x:v>0.36065002901915266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</x:cols>
  <x:sheetData>
    <x:row r="1">
      <x:c r="A1" s="5" t="str">
        <x:v>Benevolence Retail Group Ltd | Sales Budget</x:v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</x:row>
    <x:row r="3">
      <x:c r="A3" s="12" t="inlineStr">
        <x:is>
          <x:t xml:space="preserve">Metric</x:t>
        </x:is>
      </x:c>
      <x:c r="B3" s="12" t="inlineStr">
        <x:is>
          <x:t xml:space="preserve">Jan</x:t>
        </x:is>
      </x:c>
      <x:c r="C3" s="12" t="inlineStr">
        <x:is>
          <x:t xml:space="preserve">Feb</x:t>
        </x:is>
      </x:c>
      <x:c r="D3" s="12" t="inlineStr">
        <x:is>
          <x:t xml:space="preserve">Mar</x:t>
        </x:is>
      </x:c>
      <x:c r="E3" s="12" t="inlineStr">
        <x:is>
          <x:t xml:space="preserve">Apr</x:t>
        </x:is>
      </x:c>
      <x:c r="F3" s="12" t="inlineStr">
        <x:is>
          <x:t xml:space="preserve">May</x:t>
        </x:is>
      </x:c>
      <x:c r="G3" s="12" t="inlineStr">
        <x:is>
          <x:t xml:space="preserve">Jun</x:t>
        </x:is>
      </x:c>
      <x:c r="H3" s="12" t="inlineStr">
        <x:is>
          <x:t xml:space="preserve">Jul</x:t>
        </x:is>
      </x:c>
      <x:c r="I3" s="12" t="inlineStr">
        <x:is>
          <x:t xml:space="preserve">Aug</x:t>
        </x:is>
      </x:c>
      <x:c r="J3" s="12" t="inlineStr">
        <x:is>
          <x:t xml:space="preserve">Sep</x:t>
        </x:is>
      </x:c>
      <x:c r="K3" s="12" t="inlineStr">
        <x:is>
          <x:t xml:space="preserve">Oct</x:t>
        </x:is>
      </x:c>
      <x:c r="L3" s="12" t="inlineStr">
        <x:is>
          <x:t xml:space="preserve">Nov</x:t>
        </x:is>
      </x:c>
      <x:c r="M3" s="12" t="inlineStr">
        <x:is>
          <x:t xml:space="preserve">Dec</x:t>
        </x:is>
      </x:c>
      <x:c r="N3" s="12" t="inlineStr">
        <x:is>
          <x:t xml:space="preserve">FY2026</x:t>
        </x:is>
      </x:c>
    </x:row>
    <x:row r="4">
      <x:c r="A4" t="inlineStr">
        <x:is>
          <x:t xml:space="preserve">Budget Units</x:t>
        </x:is>
      </x:c>
      <x:c r="B4" s="14" t="n">
        <x:v>2071</x:v>
      </x:c>
      <x:c r="C4" s="14" t="n">
        <x:v>2143</x:v>
      </x:c>
      <x:c r="D4" s="14" t="n">
        <x:v>2214</x:v>
      </x:c>
      <x:c r="E4" s="14" t="n">
        <x:v>2286</x:v>
      </x:c>
      <x:c r="F4" s="14" t="n">
        <x:v>2357</x:v>
      </x:c>
      <x:c r="G4" s="14" t="n">
        <x:v>2429</x:v>
      </x:c>
      <x:c r="H4" s="14" t="n">
        <x:v>2500</x:v>
      </x:c>
      <x:c r="I4" s="14" t="n">
        <x:v>2571</x:v>
      </x:c>
      <x:c r="J4" s="14" t="n">
        <x:v>2643</x:v>
      </x:c>
      <x:c r="K4" s="14" t="n">
        <x:v>2786</x:v>
      </x:c>
      <x:c r="L4" s="14" t="n">
        <x:v>2929</x:v>
      </x:c>
      <x:c r="M4" s="14" t="n">
        <x:v>3286</x:v>
      </x:c>
      <x:c r="N4" t="n">
        <x:f>SUM(B4:M4)</x:f>
        <x:v>30215</x:v>
      </x:c>
    </x:row>
    <x:row r="5">
      <x:c r="A5" t="inlineStr">
        <x:is>
          <x:t xml:space="preserve">Average Selling Price (£)</x:t>
        </x:is>
      </x:c>
      <x:c r="B5" s="52" t="n">
        <x:v>28</x:v>
      </x:c>
      <x:c r="C5" s="52" t="n">
        <x:v>28</x:v>
      </x:c>
      <x:c r="D5" s="52" t="n">
        <x:v>28</x:v>
      </x:c>
      <x:c r="E5" s="52" t="n">
        <x:v>28</x:v>
      </x:c>
      <x:c r="F5" s="52" t="n">
        <x:v>28</x:v>
      </x:c>
      <x:c r="G5" s="52" t="n">
        <x:v>28</x:v>
      </x:c>
      <x:c r="H5" s="52" t="n">
        <x:v>28</x:v>
      </x:c>
      <x:c r="I5" s="52" t="n">
        <x:v>28</x:v>
      </x:c>
      <x:c r="J5" s="52" t="n">
        <x:v>28</x:v>
      </x:c>
      <x:c r="K5" s="52" t="n">
        <x:v>28</x:v>
      </x:c>
      <x:c r="L5" s="52" t="n">
        <x:v>28</x:v>
      </x:c>
      <x:c r="M5" s="52" t="n">
        <x:v>28</x:v>
      </x:c>
      <x:c r="N5" s="53" t="n"/>
    </x:row>
    <x:row r="6">
      <x:c r="A6" t="inlineStr">
        <x:is>
          <x:t xml:space="preserve">Budget Sales (£)</x:t>
        </x:is>
      </x:c>
      <x:c r="B6" s="53" t="n">
        <x:f>B4*B5</x:f>
        <x:v>57988</x:v>
      </x:c>
      <x:c r="C6" s="53" t="n">
        <x:f>C4*C5</x:f>
        <x:v>60004</x:v>
      </x:c>
      <x:c r="D6" s="53" t="n">
        <x:f>D4*D5</x:f>
        <x:v>61992</x:v>
      </x:c>
      <x:c r="E6" s="53" t="n">
        <x:f>E4*E5</x:f>
        <x:v>64008</x:v>
      </x:c>
      <x:c r="F6" s="53" t="n">
        <x:f>F4*F5</x:f>
        <x:v>65996</x:v>
      </x:c>
      <x:c r="G6" s="53" t="n">
        <x:f>G4*G5</x:f>
        <x:v>68012</x:v>
      </x:c>
      <x:c r="H6" s="53" t="n">
        <x:f>H4*H5</x:f>
        <x:v>70000</x:v>
      </x:c>
      <x:c r="I6" s="53" t="n">
        <x:f>I4*I5</x:f>
        <x:v>71988</x:v>
      </x:c>
      <x:c r="J6" s="53" t="n">
        <x:f>J4*J5</x:f>
        <x:v>74004</x:v>
      </x:c>
      <x:c r="K6" s="53" t="n">
        <x:f>K4*K5</x:f>
        <x:v>78008</x:v>
      </x:c>
      <x:c r="L6" s="53" t="n">
        <x:f>L4*L5</x:f>
        <x:v>82012</x:v>
      </x:c>
      <x:c r="M6" s="53" t="n">
        <x:f>M4*M5</x:f>
        <x:v>92008</x:v>
      </x:c>
      <x:c r="N6" s="53" t="n">
        <x:f>SUM(B6:M6)</x:f>
        <x:v>846020</x:v>
      </x:c>
    </x:row>
    <x:row r="7">
      <x:c r="A7" t="inlineStr">
        <x:is>
          <x:t xml:space="preserve">Actual Sales (£)</x:t>
        </x:is>
      </x:c>
      <x:c r="B7" s="53" t="n">
        <x:f>Data!C4</x:f>
        <x:v>57000</x:v>
      </x:c>
      <x:c r="C7" s="53" t="n">
        <x:f>Data!C5</x:f>
        <x:v>61500</x:v>
      </x:c>
      <x:c r="D7" s="53" t="n">
        <x:f>Data!C6</x:f>
        <x:v>62500</x:v>
      </x:c>
      <x:c r="E7" s="53" t="n">
        <x:f>Data!C7</x:f>
        <x:v>65500</x:v>
      </x:c>
      <x:c r="F7" s="53" t="n">
        <x:f>Data!C8</x:f>
        <x:v>65000</x:v>
      </x:c>
      <x:c r="G7" s="53" t="n">
        <x:f>Data!C9</x:f>
        <x:v>69500</x:v>
      </x:c>
      <x:c r="H7" s="53" t="n">
        <x:f>Data!C10</x:f>
        <x:v>71500</x:v>
      </x:c>
      <x:c r="I7" s="53" t="n">
        <x:f>Data!C11</x:f>
        <x:v>73000</x:v>
      </x:c>
      <x:c r="J7" s="53" t="n">
        <x:f>Data!C12</x:f>
        <x:v>75500</x:v>
      </x:c>
      <x:c r="K7" s="53" t="n">
        <x:f>Data!C13</x:f>
        <x:v>80500</x:v>
      </x:c>
      <x:c r="L7" s="53" t="n">
        <x:f>Data!C14</x:f>
        <x:v>84500</x:v>
      </x:c>
      <x:c r="M7" s="53" t="n">
        <x:f>Data!C15</x:f>
        <x:v>95500</x:v>
      </x:c>
      <x:c r="N7" s="53" t="n">
        <x:f>SUM(B7:M7)</x:f>
        <x:v>861500</x:v>
      </x:c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</x:cols>
  <x:sheetData>
    <x:row r="1">
      <x:c r="A1" s="5" t="str">
        <x:v>Benevolence Retail Group Ltd | Expense Budget</x:v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</x:row>
    <x:row r="3">
      <x:c r="A3" s="12" t="inlineStr">
        <x:is>
          <x:t xml:space="preserve">Metric</x:t>
        </x:is>
      </x:c>
      <x:c r="B3" s="12" t="inlineStr">
        <x:is>
          <x:t xml:space="preserve">Jan</x:t>
        </x:is>
      </x:c>
      <x:c r="C3" s="12" t="inlineStr">
        <x:is>
          <x:t xml:space="preserve">Feb</x:t>
        </x:is>
      </x:c>
      <x:c r="D3" s="12" t="inlineStr">
        <x:is>
          <x:t xml:space="preserve">Mar</x:t>
        </x:is>
      </x:c>
      <x:c r="E3" s="12" t="inlineStr">
        <x:is>
          <x:t xml:space="preserve">Apr</x:t>
        </x:is>
      </x:c>
      <x:c r="F3" s="12" t="inlineStr">
        <x:is>
          <x:t xml:space="preserve">May</x:t>
        </x:is>
      </x:c>
      <x:c r="G3" s="12" t="inlineStr">
        <x:is>
          <x:t xml:space="preserve">Jun</x:t>
        </x:is>
      </x:c>
      <x:c r="H3" s="12" t="inlineStr">
        <x:is>
          <x:t xml:space="preserve">Jul</x:t>
        </x:is>
      </x:c>
      <x:c r="I3" s="12" t="inlineStr">
        <x:is>
          <x:t xml:space="preserve">Aug</x:t>
        </x:is>
      </x:c>
      <x:c r="J3" s="12" t="inlineStr">
        <x:is>
          <x:t xml:space="preserve">Sep</x:t>
        </x:is>
      </x:c>
      <x:c r="K3" s="12" t="inlineStr">
        <x:is>
          <x:t xml:space="preserve">Oct</x:t>
        </x:is>
      </x:c>
      <x:c r="L3" s="12" t="inlineStr">
        <x:is>
          <x:t xml:space="preserve">Nov</x:t>
        </x:is>
      </x:c>
      <x:c r="M3" s="12" t="inlineStr">
        <x:is>
          <x:t xml:space="preserve">Dec</x:t>
        </x:is>
      </x:c>
      <x:c r="N3" s="12" t="inlineStr">
        <x:is>
          <x:t xml:space="preserve">FY2026</x:t>
        </x:is>
      </x:c>
    </x:row>
    <x:row r="4">
      <x:c r="A4" t="inlineStr">
        <x:is>
          <x:t xml:space="preserve">Budget Expenses (£)</x:t>
        </x:is>
      </x:c>
      <x:c r="B4" s="55" t="n">
        <x:f>Data!D4</x:f>
        <x:v>39000</x:v>
      </x:c>
      <x:c r="C4" s="55" t="n">
        <x:f>Data!D5</x:f>
        <x:v>40000</x:v>
      </x:c>
      <x:c r="D4" s="55" t="n">
        <x:f>Data!D6</x:f>
        <x:v>41000</x:v>
      </x:c>
      <x:c r="E4" s="55" t="n">
        <x:f>Data!D7</x:f>
        <x:v>42000</x:v>
      </x:c>
      <x:c r="F4" s="55" t="n">
        <x:f>Data!D8</x:f>
        <x:v>43000</x:v>
      </x:c>
      <x:c r="G4" s="55" t="n">
        <x:f>Data!D9</x:f>
        <x:v>44000</x:v>
      </x:c>
      <x:c r="H4" s="55" t="n">
        <x:f>Data!D10</x:f>
        <x:v>45000</x:v>
      </x:c>
      <x:c r="I4" s="55" t="n">
        <x:f>Data!D11</x:f>
        <x:v>46000</x:v>
      </x:c>
      <x:c r="J4" s="55" t="n">
        <x:f>Data!D12</x:f>
        <x:v>47000</x:v>
      </x:c>
      <x:c r="K4" s="55" t="n">
        <x:f>Data!D13</x:f>
        <x:v>49000</x:v>
      </x:c>
      <x:c r="L4" s="55" t="n">
        <x:f>Data!D14</x:f>
        <x:v>51000</x:v>
      </x:c>
      <x:c r="M4" s="55" t="n">
        <x:f>Data!D15</x:f>
        <x:v>56000</x:v>
      </x:c>
      <x:c r="N4" s="55" t="n">
        <x:f>SUM(B4:M4)</x:f>
        <x:v>543000</x:v>
      </x:c>
    </x:row>
    <x:row r="5">
      <x:c r="A5" t="inlineStr">
        <x:is>
          <x:t xml:space="preserve">Actual Expenses (£)</x:t>
        </x:is>
      </x:c>
      <x:c r="B5" s="55" t="n">
        <x:f>Data!E4</x:f>
        <x:v>39500</x:v>
      </x:c>
      <x:c r="C5" s="55" t="n">
        <x:f>Data!E5</x:f>
        <x:v>39700</x:v>
      </x:c>
      <x:c r="D5" s="55" t="n">
        <x:f>Data!E6</x:f>
        <x:v>41800</x:v>
      </x:c>
      <x:c r="E5" s="55" t="n">
        <x:f>Data!E7</x:f>
        <x:v>42100</x:v>
      </x:c>
      <x:c r="F5" s="55" t="n">
        <x:f>Data!E8</x:f>
        <x:v>43800</x:v>
      </x:c>
      <x:c r="G5" s="55" t="n">
        <x:f>Data!E9</x:f>
        <x:v>44100</x:v>
      </x:c>
      <x:c r="H5" s="55" t="n">
        <x:f>Data!E10</x:f>
        <x:v>46200</x:v>
      </x:c>
      <x:c r="I5" s="55" t="n">
        <x:f>Data!E11</x:f>
        <x:v>45800</x:v>
      </x:c>
      <x:c r="J5" s="55" t="n">
        <x:f>Data!E12</x:f>
        <x:v>48100</x:v>
      </x:c>
      <x:c r="K5" s="55" t="n">
        <x:f>Data!E13</x:f>
        <x:v>49500</x:v>
      </x:c>
      <x:c r="L5" s="55" t="n">
        <x:f>Data!E14</x:f>
        <x:v>52300</x:v>
      </x:c>
      <x:c r="M5" s="55" t="n">
        <x:f>Data!E15</x:f>
        <x:v>57900</x:v>
      </x:c>
      <x:c r="N5" s="55" t="n">
        <x:f>SUM(B5:M5)</x:f>
        <x:v>550800</x:v>
      </x:c>
    </x:row>
    <x:row r="6">
      <x:c r="A6" t="inlineStr">
        <x:is>
          <x:t xml:space="preserve">Favourable / (Unfavourable) (£)</x:t>
        </x:is>
      </x:c>
      <x:c r="B6" s="55" t="n">
        <x:f>B4-B5</x:f>
        <x:v>-500</x:v>
      </x:c>
      <x:c r="C6" s="55" t="n">
        <x:f>C4-C5</x:f>
        <x:v>300</x:v>
      </x:c>
      <x:c r="D6" s="55" t="n">
        <x:f>D4-D5</x:f>
        <x:v>-800</x:v>
      </x:c>
      <x:c r="E6" s="55" t="n">
        <x:f>E4-E5</x:f>
        <x:v>-100</x:v>
      </x:c>
      <x:c r="F6" s="55" t="n">
        <x:f>F4-F5</x:f>
        <x:v>-800</x:v>
      </x:c>
      <x:c r="G6" s="55" t="n">
        <x:f>G4-G5</x:f>
        <x:v>-100</x:v>
      </x:c>
      <x:c r="H6" s="55" t="n">
        <x:f>H4-H5</x:f>
        <x:v>-1200</x:v>
      </x:c>
      <x:c r="I6" s="55" t="n">
        <x:f>I4-I5</x:f>
        <x:v>200</x:v>
      </x:c>
      <x:c r="J6" s="55" t="n">
        <x:f>J4-J5</x:f>
        <x:v>-1100</x:v>
      </x:c>
      <x:c r="K6" s="55" t="n">
        <x:f>K4-K5</x:f>
        <x:v>-500</x:v>
      </x:c>
      <x:c r="L6" s="55" t="n">
        <x:f>L4-L5</x:f>
        <x:v>-1300</x:v>
      </x:c>
      <x:c r="M6" s="55" t="n">
        <x:f>M4-M5</x:f>
        <x:v>-1900</x:v>
      </x:c>
      <x:c r="N6" s="55" t="n">
        <x:f>SUM(B6:M6)</x:f>
        <x:v>-7800</x:v>
      </x:c>
    </x:row>
  </x:sheetData>
  <x:mergeCells>
    <x:mergeCell ref="A1:N1"/>
  </x:mergeCells>
  <x:conditionalFormatting sqref="B6:N6">
    <x:cfRule type="expression" dxfId="0" priority="1">
      <x:formula>B6&lt;0</x:formula>
    </x:cfRule>
    <x:cfRule type="expression" dxfId="1" priority="2">
      <x:formula>B6&gt;0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</x:cols>
  <x:sheetData>
    <x:row r="1">
      <x:c r="A1" s="5" t="str">
        <x:v>Benevolence Retail Group Ltd | Cash Flow Forecast</x:v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</x:row>
    <x:row r="3">
      <x:c r="A3" s="12" t="inlineStr">
        <x:is>
          <x:t xml:space="preserve">Metric</x:t>
        </x:is>
      </x:c>
      <x:c r="B3" s="12" t="inlineStr">
        <x:is>
          <x:t xml:space="preserve">Jan</x:t>
        </x:is>
      </x:c>
      <x:c r="C3" s="12" t="inlineStr">
        <x:is>
          <x:t xml:space="preserve">Feb</x:t>
        </x:is>
      </x:c>
      <x:c r="D3" s="12" t="inlineStr">
        <x:is>
          <x:t xml:space="preserve">Mar</x:t>
        </x:is>
      </x:c>
      <x:c r="E3" s="12" t="inlineStr">
        <x:is>
          <x:t xml:space="preserve">Apr</x:t>
        </x:is>
      </x:c>
      <x:c r="F3" s="12" t="inlineStr">
        <x:is>
          <x:t xml:space="preserve">May</x:t>
        </x:is>
      </x:c>
      <x:c r="G3" s="12" t="inlineStr">
        <x:is>
          <x:t xml:space="preserve">Jun</x:t>
        </x:is>
      </x:c>
      <x:c r="H3" s="12" t="inlineStr">
        <x:is>
          <x:t xml:space="preserve">Jul</x:t>
        </x:is>
      </x:c>
      <x:c r="I3" s="12" t="inlineStr">
        <x:is>
          <x:t xml:space="preserve">Aug</x:t>
        </x:is>
      </x:c>
      <x:c r="J3" s="12" t="inlineStr">
        <x:is>
          <x:t xml:space="preserve">Sep</x:t>
        </x:is>
      </x:c>
      <x:c r="K3" s="12" t="inlineStr">
        <x:is>
          <x:t xml:space="preserve">Oct</x:t>
        </x:is>
      </x:c>
      <x:c r="L3" s="12" t="inlineStr">
        <x:is>
          <x:t xml:space="preserve">Nov</x:t>
        </x:is>
      </x:c>
      <x:c r="M3" s="12" t="inlineStr">
        <x:is>
          <x:t xml:space="preserve">Dec</x:t>
        </x:is>
      </x:c>
      <x:c r="N3" s="12" t="inlineStr">
        <x:is>
          <x:t xml:space="preserve">FY2026</x:t>
        </x:is>
      </x:c>
    </x:row>
    <x:row r="4">
      <x:c r="A4" t="inlineStr">
        <x:is>
          <x:t xml:space="preserve">Opening Cash</x:t>
        </x:is>
      </x:c>
      <x:c r="B4" s="53" t="n">
        <x:v>40000</x:v>
      </x:c>
      <x:c r="C4" s="53" t="n">
        <x:f>B8</x:f>
        <x:v>59000</x:v>
      </x:c>
      <x:c r="D4" s="53" t="n">
        <x:f>C8</x:f>
        <x:v>79000</x:v>
      </x:c>
      <x:c r="E4" s="53" t="n">
        <x:f>D8</x:f>
        <x:v>100000</x:v>
      </x:c>
      <x:c r="F4" s="53" t="n">
        <x:f>E8</x:f>
        <x:v>122000</x:v>
      </x:c>
      <x:c r="G4" s="53" t="n">
        <x:f>F8</x:f>
        <x:v>145000</x:v>
      </x:c>
      <x:c r="H4" s="53" t="n">
        <x:f>G8</x:f>
        <x:v>169000</x:v>
      </x:c>
      <x:c r="I4" s="53" t="n">
        <x:f>H8</x:f>
        <x:v>194000</x:v>
      </x:c>
      <x:c r="J4" s="53" t="n">
        <x:f>I8</x:f>
        <x:v>220000</x:v>
      </x:c>
      <x:c r="K4" s="53" t="n">
        <x:f>J8</x:f>
        <x:v>247000</x:v>
      </x:c>
      <x:c r="L4" s="53" t="n">
        <x:f>K8</x:f>
        <x:v>276000</x:v>
      </x:c>
      <x:c r="M4" s="53" t="n">
        <x:f>L8</x:f>
        <x:v>307000</x:v>
      </x:c>
      <x:c r="N4" s="53" t="n"/>
    </x:row>
    <x:row r="5">
      <x:c r="A5" t="inlineStr">
        <x:is>
          <x:t xml:space="preserve">Budget Cash Receipts</x:t>
        </x:is>
      </x:c>
      <x:c r="B5" s="53" t="n">
        <x:f>Data!B4</x:f>
        <x:v>58000</x:v>
      </x:c>
      <x:c r="C5" s="53" t="n">
        <x:f>Data!B5</x:f>
        <x:v>60000</x:v>
      </x:c>
      <x:c r="D5" s="53" t="n">
        <x:f>Data!B6</x:f>
        <x:v>62000</x:v>
      </x:c>
      <x:c r="E5" s="53" t="n">
        <x:f>Data!B7</x:f>
        <x:v>64000</x:v>
      </x:c>
      <x:c r="F5" s="53" t="n">
        <x:f>Data!B8</x:f>
        <x:v>66000</x:v>
      </x:c>
      <x:c r="G5" s="53" t="n">
        <x:f>Data!B9</x:f>
        <x:v>68000</x:v>
      </x:c>
      <x:c r="H5" s="53" t="n">
        <x:f>Data!B10</x:f>
        <x:v>70000</x:v>
      </x:c>
      <x:c r="I5" s="53" t="n">
        <x:f>Data!B11</x:f>
        <x:v>72000</x:v>
      </x:c>
      <x:c r="J5" s="53" t="n">
        <x:f>Data!B12</x:f>
        <x:v>74000</x:v>
      </x:c>
      <x:c r="K5" s="53" t="n">
        <x:f>Data!B13</x:f>
        <x:v>78000</x:v>
      </x:c>
      <x:c r="L5" s="53" t="n">
        <x:f>Data!B14</x:f>
        <x:v>82000</x:v>
      </x:c>
      <x:c r="M5" s="53" t="n">
        <x:f>Data!B15</x:f>
        <x:v>92000</x:v>
      </x:c>
      <x:c r="N5" s="53" t="n">
        <x:f>SUM(B5:M5)</x:f>
        <x:v>846000</x:v>
      </x:c>
    </x:row>
    <x:row r="6">
      <x:c r="A6" t="inlineStr">
        <x:is>
          <x:t xml:space="preserve">Budget Cash Payments</x:t>
        </x:is>
      </x:c>
      <x:c r="B6" s="53" t="n">
        <x:f>-Data!D4</x:f>
        <x:v>-39000</x:v>
      </x:c>
      <x:c r="C6" s="53" t="n">
        <x:f>-Data!D5</x:f>
        <x:v>-40000</x:v>
      </x:c>
      <x:c r="D6" s="53" t="n">
        <x:f>-Data!D6</x:f>
        <x:v>-41000</x:v>
      </x:c>
      <x:c r="E6" s="53" t="n">
        <x:f>-Data!D7</x:f>
        <x:v>-42000</x:v>
      </x:c>
      <x:c r="F6" s="53" t="n">
        <x:f>-Data!D8</x:f>
        <x:v>-43000</x:v>
      </x:c>
      <x:c r="G6" s="53" t="n">
        <x:f>-Data!D9</x:f>
        <x:v>-44000</x:v>
      </x:c>
      <x:c r="H6" s="53" t="n">
        <x:f>-Data!D10</x:f>
        <x:v>-45000</x:v>
      </x:c>
      <x:c r="I6" s="53" t="n">
        <x:f>-Data!D11</x:f>
        <x:v>-46000</x:v>
      </x:c>
      <x:c r="J6" s="53" t="n">
        <x:f>-Data!D12</x:f>
        <x:v>-47000</x:v>
      </x:c>
      <x:c r="K6" s="53" t="n">
        <x:f>-Data!D13</x:f>
        <x:v>-49000</x:v>
      </x:c>
      <x:c r="L6" s="53" t="n">
        <x:f>-Data!D14</x:f>
        <x:v>-51000</x:v>
      </x:c>
      <x:c r="M6" s="53" t="n">
        <x:f>-Data!D15</x:f>
        <x:v>-56000</x:v>
      </x:c>
      <x:c r="N6" s="53" t="n">
        <x:f>SUM(B6:M6)</x:f>
        <x:v>-543000</x:v>
      </x:c>
    </x:row>
    <x:row r="7">
      <x:c r="A7" t="inlineStr">
        <x:is>
          <x:t xml:space="preserve">Net Cash Flow</x:t>
        </x:is>
      </x:c>
      <x:c r="B7" s="53" t="n">
        <x:f>B5+B6</x:f>
        <x:v>19000</x:v>
      </x:c>
      <x:c r="C7" s="53" t="n">
        <x:f>C5+C6</x:f>
        <x:v>20000</x:v>
      </x:c>
      <x:c r="D7" s="53" t="n">
        <x:f>D5+D6</x:f>
        <x:v>21000</x:v>
      </x:c>
      <x:c r="E7" s="53" t="n">
        <x:f>E5+E6</x:f>
        <x:v>22000</x:v>
      </x:c>
      <x:c r="F7" s="53" t="n">
        <x:f>F5+F6</x:f>
        <x:v>23000</x:v>
      </x:c>
      <x:c r="G7" s="53" t="n">
        <x:f>G5+G6</x:f>
        <x:v>24000</x:v>
      </x:c>
      <x:c r="H7" s="53" t="n">
        <x:f>H5+H6</x:f>
        <x:v>25000</x:v>
      </x:c>
      <x:c r="I7" s="53" t="n">
        <x:f>I5+I6</x:f>
        <x:v>26000</x:v>
      </x:c>
      <x:c r="J7" s="53" t="n">
        <x:f>J5+J6</x:f>
        <x:v>27000</x:v>
      </x:c>
      <x:c r="K7" s="53" t="n">
        <x:f>K5+K6</x:f>
        <x:v>29000</x:v>
      </x:c>
      <x:c r="L7" s="53" t="n">
        <x:f>L5+L6</x:f>
        <x:v>31000</x:v>
      </x:c>
      <x:c r="M7" s="53" t="n">
        <x:f>M5+M6</x:f>
        <x:v>36000</x:v>
      </x:c>
      <x:c r="N7" s="53" t="n">
        <x:f>SUM(B7:M7)</x:f>
        <x:v>303000</x:v>
      </x:c>
    </x:row>
    <x:row r="8">
      <x:c r="A8" t="inlineStr">
        <x:is>
          <x:t xml:space="preserve">Closing Cash</x:t>
        </x:is>
      </x:c>
      <x:c r="B8" s="53" t="n">
        <x:f>B4+B7</x:f>
        <x:v>59000</x:v>
      </x:c>
      <x:c r="C8" s="53" t="n">
        <x:f>C4+C7</x:f>
        <x:v>79000</x:v>
      </x:c>
      <x:c r="D8" s="53" t="n">
        <x:f>D4+D7</x:f>
        <x:v>100000</x:v>
      </x:c>
      <x:c r="E8" s="53" t="n">
        <x:f>E4+E7</x:f>
        <x:v>122000</x:v>
      </x:c>
      <x:c r="F8" s="53" t="n">
        <x:f>F4+F7</x:f>
        <x:v>145000</x:v>
      </x:c>
      <x:c r="G8" s="53" t="n">
        <x:f>G4+G7</x:f>
        <x:v>169000</x:v>
      </x:c>
      <x:c r="H8" s="53" t="n">
        <x:f>H4+H7</x:f>
        <x:v>194000</x:v>
      </x:c>
      <x:c r="I8" s="53" t="n">
        <x:f>I4+I7</x:f>
        <x:v>220000</x:v>
      </x:c>
      <x:c r="J8" s="53" t="n">
        <x:f>J4+J7</x:f>
        <x:v>247000</x:v>
      </x:c>
      <x:c r="K8" s="53" t="n">
        <x:f>K4+K7</x:f>
        <x:v>276000</x:v>
      </x:c>
      <x:c r="L8" s="53" t="n">
        <x:f>L4+L7</x:f>
        <x:v>307000</x:v>
      </x:c>
      <x:c r="M8" s="53" t="n">
        <x:f>M4+M7</x:f>
        <x:v>343000</x:v>
      </x:c>
      <x:c r="N8" s="53" t="n">
        <x:f>M8</x:f>
        <x:v>343000</x:v>
      </x:c>
    </x:row>
  </x:sheetData>
  <x:mergeCells>
    <x:mergeCell ref="A1:N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5" customWidth="1"/>
    <x:col min="2" max="2" width="25" customWidth="1"/>
    <x:col min="3" max="3" width="25" customWidth="1"/>
  </x:cols>
  <x:sheetData>
    <x:row r="1">
      <x:c r="A1" s="5" t="str">
        <x:v>Benevolence Retail Group Ltd | Break-even Analysis</x:v>
      </x:c>
      <x:c r="B1" s="1" t="n"/>
      <x:c r="C1" s="1" t="n"/>
      <x:c r="D1" s="1" t="n"/>
      <x:c r="E1" s="1" t="n"/>
      <x:c r="F1" s="1" t="n"/>
    </x:row>
    <x:row r="3">
      <x:c r="A3" s="12" t="inlineStr">
        <x:is>
          <x:t xml:space="preserve">Metric</x:t>
        </x:is>
      </x:c>
      <x:c r="B3" s="12" t="inlineStr">
        <x:is>
          <x:t xml:space="preserve">Value</x:t>
        </x:is>
      </x:c>
    </x:row>
    <x:row r="4">
      <x:c r="A4" t="inlineStr">
        <x:is>
          <x:t xml:space="preserve">Average Selling Price (£)</x:t>
        </x:is>
      </x:c>
      <x:c r="B4" s="52" t="n">
        <x:v>28</x:v>
      </x:c>
    </x:row>
    <x:row r="5">
      <x:c r="A5" t="inlineStr">
        <x:is>
          <x:t xml:space="preserve">Variable Cost per Unit (£)</x:t>
        </x:is>
      </x:c>
      <x:c r="B5" s="52" t="n">
        <x:v>10.5</x:v>
      </x:c>
    </x:row>
    <x:row r="6">
      <x:c r="A6" t="inlineStr">
        <x:is>
          <x:t xml:space="preserve">Contribution per Unit (£)</x:t>
        </x:is>
      </x:c>
      <x:c r="B6" s="53" t="n">
        <x:f>B4-B5</x:f>
        <x:v>17.5</x:v>
      </x:c>
    </x:row>
    <x:row r="7">
      <x:c r="A7" t="inlineStr">
        <x:is>
          <x:t xml:space="preserve">Contribution Margin</x:t>
        </x:is>
      </x:c>
      <x:c r="B7" s="54" t="n">
        <x:f>B6/B4</x:f>
        <x:v>0.625</x:v>
      </x:c>
    </x:row>
    <x:row r="8">
      <x:c r="A8" t="inlineStr">
        <x:is>
          <x:t xml:space="preserve">Annual Fixed Costs (£)</x:t>
        </x:is>
      </x:c>
      <x:c r="B8" s="52" t="n">
        <x:v>310000</x:v>
      </x:c>
    </x:row>
    <x:row r="9">
      <x:c r="A9" t="inlineStr">
        <x:is>
          <x:t xml:space="preserve">Break-even Units</x:t>
        </x:is>
      </x:c>
      <x:c r="B9" s="58" t="n">
        <x:f>B8/B6</x:f>
        <x:v>17714.285714285714</x:v>
      </x:c>
    </x:row>
    <x:row r="11">
      <x:c r="A11" s="12" t="inlineStr">
        <x:is>
          <x:t xml:space="preserve">Units</x:t>
        </x:is>
      </x:c>
      <x:c r="B11" s="12" t="inlineStr">
        <x:is>
          <x:t xml:space="preserve">Revenue (£)</x:t>
        </x:is>
      </x:c>
      <x:c r="C11" s="12" t="inlineStr">
        <x:is>
          <x:t xml:space="preserve">Total Cost (£)</x:t>
        </x:is>
      </x:c>
    </x:row>
    <x:row r="12">
      <x:c r="A12" t="n">
        <x:v>0</x:v>
      </x:c>
      <x:c r="B12" s="53" t="n">
        <x:f>A12*$B$4</x:f>
        <x:v>0</x:v>
      </x:c>
      <x:c r="C12" s="53" t="n">
        <x:f>$B$8+A12*$B$5</x:f>
        <x:v>310000</x:v>
      </x:c>
    </x:row>
    <x:row r="13">
      <x:c r="A13" t="n">
        <x:v>4000</x:v>
      </x:c>
      <x:c r="B13" s="53" t="n">
        <x:f>A13*$B$4</x:f>
        <x:v>112000</x:v>
      </x:c>
      <x:c r="C13" s="53" t="n">
        <x:f>$B$8+A13*$B$5</x:f>
        <x:v>352000</x:v>
      </x:c>
    </x:row>
    <x:row r="14">
      <x:c r="A14" t="n">
        <x:v>8000</x:v>
      </x:c>
      <x:c r="B14" s="53" t="n">
        <x:f>A14*$B$4</x:f>
        <x:v>224000</x:v>
      </x:c>
      <x:c r="C14" s="53" t="n">
        <x:f>$B$8+A14*$B$5</x:f>
        <x:v>394000</x:v>
      </x:c>
    </x:row>
    <x:row r="15">
      <x:c r="A15" t="n">
        <x:v>12000</x:v>
      </x:c>
      <x:c r="B15" s="53" t="n">
        <x:f>A15*$B$4</x:f>
        <x:v>336000</x:v>
      </x:c>
      <x:c r="C15" s="53" t="n">
        <x:f>$B$8+A15*$B$5</x:f>
        <x:v>436000</x:v>
      </x:c>
    </x:row>
    <x:row r="16">
      <x:c r="A16" t="n">
        <x:v>16000</x:v>
      </x:c>
      <x:c r="B16" s="53" t="n">
        <x:f>A16*$B$4</x:f>
        <x:v>448000</x:v>
      </x:c>
      <x:c r="C16" s="53" t="n">
        <x:f>$B$8+A16*$B$5</x:f>
        <x:v>478000</x:v>
      </x:c>
    </x:row>
    <x:row r="17">
      <x:c r="A17" t="n">
        <x:v>20000</x:v>
      </x:c>
      <x:c r="B17" s="53" t="n">
        <x:f>A17*$B$4</x:f>
        <x:v>560000</x:v>
      </x:c>
      <x:c r="C17" s="53" t="n">
        <x:f>$B$8+A17*$B$5</x:f>
        <x:v>520000</x:v>
      </x:c>
    </x:row>
    <x:row r="18">
      <x:c r="A18" t="n">
        <x:v>24000</x:v>
      </x:c>
      <x:c r="B18" s="53" t="n">
        <x:f>A18*$B$4</x:f>
        <x:v>672000</x:v>
      </x:c>
      <x:c r="C18" s="53" t="n">
        <x:f>$B$8+A18*$B$5</x:f>
        <x:v>562000</x:v>
      </x:c>
    </x:row>
    <x:row r="19">
      <x:c r="A19" t="n">
        <x:v>28000</x:v>
      </x:c>
      <x:c r="B19" s="53" t="n">
        <x:f>A19*$B$4</x:f>
        <x:v>784000</x:v>
      </x:c>
      <x:c r="C19" s="53" t="n">
        <x:f>$B$8+A19*$B$5</x:f>
        <x:v>604000</x:v>
      </x:c>
    </x:row>
    <x:row r="20">
      <x:c r="A20" t="n">
        <x:v>32000</x:v>
      </x:c>
      <x:c r="B20" s="53" t="n">
        <x:f>A20*$B$4</x:f>
        <x:v>896000</x:v>
      </x:c>
      <x:c r="C20" s="53" t="n">
        <x:f>$B$8+A20*$B$5</x:f>
        <x:v>646000</x:v>
      </x:c>
    </x:row>
    <x:row r="21">
      <x:c r="A21" t="n">
        <x:v>36000</x:v>
      </x:c>
      <x:c r="B21" s="53" t="n">
        <x:f>A21*$B$4</x:f>
        <x:v>1008000</x:v>
      </x:c>
      <x:c r="C21" s="53" t="n">
        <x:f>$B$8+A21*$B$5</x:f>
        <x:v>688000</x:v>
      </x:c>
    </x:row>
    <x:row r="22">
      <x:c r="A22" t="n">
        <x:v>40000</x:v>
      </x:c>
      <x:c r="B22" s="53" t="n">
        <x:f>A22*$B$4</x:f>
        <x:v>1120000</x:v>
      </x:c>
      <x:c r="C22" s="53" t="n">
        <x:f>$B$8+A22*$B$5</x:f>
        <x:v>730000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cfca726294cd4cdf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</x:cols>
  <x:sheetData>
    <x:row r="1">
      <x:c r="A1" s="5" t="str">
        <x:v>Benevolence Retail Group Ltd | Monthly Management Accounts</x:v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</x:row>
    <x:row r="3">
      <x:c r="A3" s="12" t="inlineStr">
        <x:is>
          <x:t xml:space="preserve">Metric</x:t>
        </x:is>
      </x:c>
      <x:c r="B3" s="12" t="inlineStr">
        <x:is>
          <x:t xml:space="preserve">Jan</x:t>
        </x:is>
      </x:c>
      <x:c r="C3" s="12" t="inlineStr">
        <x:is>
          <x:t xml:space="preserve">Feb</x:t>
        </x:is>
      </x:c>
      <x:c r="D3" s="12" t="inlineStr">
        <x:is>
          <x:t xml:space="preserve">Mar</x:t>
        </x:is>
      </x:c>
      <x:c r="E3" s="12" t="inlineStr">
        <x:is>
          <x:t xml:space="preserve">Apr</x:t>
        </x:is>
      </x:c>
      <x:c r="F3" s="12" t="inlineStr">
        <x:is>
          <x:t xml:space="preserve">May</x:t>
        </x:is>
      </x:c>
      <x:c r="G3" s="12" t="inlineStr">
        <x:is>
          <x:t xml:space="preserve">Jun</x:t>
        </x:is>
      </x:c>
      <x:c r="H3" s="12" t="inlineStr">
        <x:is>
          <x:t xml:space="preserve">Jul</x:t>
        </x:is>
      </x:c>
      <x:c r="I3" s="12" t="inlineStr">
        <x:is>
          <x:t xml:space="preserve">Aug</x:t>
        </x:is>
      </x:c>
      <x:c r="J3" s="12" t="inlineStr">
        <x:is>
          <x:t xml:space="preserve">Sep</x:t>
        </x:is>
      </x:c>
      <x:c r="K3" s="12" t="inlineStr">
        <x:is>
          <x:t xml:space="preserve">Oct</x:t>
        </x:is>
      </x:c>
      <x:c r="L3" s="12" t="inlineStr">
        <x:is>
          <x:t xml:space="preserve">Nov</x:t>
        </x:is>
      </x:c>
      <x:c r="M3" s="12" t="inlineStr">
        <x:is>
          <x:t xml:space="preserve">Dec</x:t>
        </x:is>
      </x:c>
      <x:c r="N3" s="12" t="inlineStr">
        <x:is>
          <x:t xml:space="preserve">FY2026</x:t>
        </x:is>
      </x:c>
    </x:row>
    <x:row r="4">
      <x:c r="A4" t="inlineStr">
        <x:is>
          <x:t xml:space="preserve">Revenue</x:t>
        </x:is>
      </x:c>
      <x:c r="B4" s="55" t="n">
        <x:f>Data!C4</x:f>
        <x:v>57000</x:v>
      </x:c>
      <x:c r="C4" s="55" t="n">
        <x:f>Data!C5</x:f>
        <x:v>61500</x:v>
      </x:c>
      <x:c r="D4" s="55" t="n">
        <x:f>Data!C6</x:f>
        <x:v>62500</x:v>
      </x:c>
      <x:c r="E4" s="55" t="n">
        <x:f>Data!C7</x:f>
        <x:v>65500</x:v>
      </x:c>
      <x:c r="F4" s="55" t="n">
        <x:f>Data!C8</x:f>
        <x:v>65000</x:v>
      </x:c>
      <x:c r="G4" s="55" t="n">
        <x:f>Data!C9</x:f>
        <x:v>69500</x:v>
      </x:c>
      <x:c r="H4" s="55" t="n">
        <x:f>Data!C10</x:f>
        <x:v>71500</x:v>
      </x:c>
      <x:c r="I4" s="55" t="n">
        <x:f>Data!C11</x:f>
        <x:v>73000</x:v>
      </x:c>
      <x:c r="J4" s="55" t="n">
        <x:f>Data!C12</x:f>
        <x:v>75500</x:v>
      </x:c>
      <x:c r="K4" s="55" t="n">
        <x:f>Data!C13</x:f>
        <x:v>80500</x:v>
      </x:c>
      <x:c r="L4" s="55" t="n">
        <x:f>Data!C14</x:f>
        <x:v>84500</x:v>
      </x:c>
      <x:c r="M4" s="55" t="n">
        <x:f>Data!C15</x:f>
        <x:v>95500</x:v>
      </x:c>
      <x:c r="N4" s="55" t="n">
        <x:f>SUM(B4:M4)</x:f>
        <x:v>861500</x:v>
      </x:c>
    </x:row>
    <x:row r="5">
      <x:c r="A5" t="inlineStr">
        <x:is>
          <x:t xml:space="preserve">Expenses</x:t>
        </x:is>
      </x:c>
      <x:c r="B5" s="55" t="n">
        <x:f>Data!E4</x:f>
        <x:v>39500</x:v>
      </x:c>
      <x:c r="C5" s="55" t="n">
        <x:f>Data!E5</x:f>
        <x:v>39700</x:v>
      </x:c>
      <x:c r="D5" s="55" t="n">
        <x:f>Data!E6</x:f>
        <x:v>41800</x:v>
      </x:c>
      <x:c r="E5" s="55" t="n">
        <x:f>Data!E7</x:f>
        <x:v>42100</x:v>
      </x:c>
      <x:c r="F5" s="55" t="n">
        <x:f>Data!E8</x:f>
        <x:v>43800</x:v>
      </x:c>
      <x:c r="G5" s="55" t="n">
        <x:f>Data!E9</x:f>
        <x:v>44100</x:v>
      </x:c>
      <x:c r="H5" s="55" t="n">
        <x:f>Data!E10</x:f>
        <x:v>46200</x:v>
      </x:c>
      <x:c r="I5" s="55" t="n">
        <x:f>Data!E11</x:f>
        <x:v>45800</x:v>
      </x:c>
      <x:c r="J5" s="55" t="n">
        <x:f>Data!E12</x:f>
        <x:v>48100</x:v>
      </x:c>
      <x:c r="K5" s="55" t="n">
        <x:f>Data!E13</x:f>
        <x:v>49500</x:v>
      </x:c>
      <x:c r="L5" s="55" t="n">
        <x:f>Data!E14</x:f>
        <x:v>52300</x:v>
      </x:c>
      <x:c r="M5" s="55" t="n">
        <x:f>Data!E15</x:f>
        <x:v>57900</x:v>
      </x:c>
      <x:c r="N5" s="55" t="n">
        <x:f>SUM(B5:M5)</x:f>
        <x:v>550800</x:v>
      </x:c>
    </x:row>
    <x:row r="6">
      <x:c r="A6" t="inlineStr">
        <x:is>
          <x:t xml:space="preserve">Net Income</x:t>
        </x:is>
      </x:c>
      <x:c r="B6" s="55" t="n">
        <x:f>Data!G4</x:f>
        <x:v>17500</x:v>
      </x:c>
      <x:c r="C6" s="55" t="n">
        <x:f>Data!G5</x:f>
        <x:v>21800</x:v>
      </x:c>
      <x:c r="D6" s="55" t="n">
        <x:f>Data!G6</x:f>
        <x:v>20700</x:v>
      </x:c>
      <x:c r="E6" s="55" t="n">
        <x:f>Data!G7</x:f>
        <x:v>23400</x:v>
      </x:c>
      <x:c r="F6" s="55" t="n">
        <x:f>Data!G8</x:f>
        <x:v>21200</x:v>
      </x:c>
      <x:c r="G6" s="55" t="n">
        <x:f>Data!G9</x:f>
        <x:v>25400</x:v>
      </x:c>
      <x:c r="H6" s="55" t="n">
        <x:f>Data!G10</x:f>
        <x:v>25300</x:v>
      </x:c>
      <x:c r="I6" s="55" t="n">
        <x:f>Data!G11</x:f>
        <x:v>27200</x:v>
      </x:c>
      <x:c r="J6" s="55" t="n">
        <x:f>Data!G12</x:f>
        <x:v>27400</x:v>
      </x:c>
      <x:c r="K6" s="55" t="n">
        <x:f>Data!G13</x:f>
        <x:v>31000</x:v>
      </x:c>
      <x:c r="L6" s="55" t="n">
        <x:f>Data!G14</x:f>
        <x:v>32200</x:v>
      </x:c>
      <x:c r="M6" s="55" t="n">
        <x:f>Data!G15</x:f>
        <x:v>37600</x:v>
      </x:c>
      <x:c r="N6" s="55" t="n">
        <x:f>SUM(B6:M6)</x:f>
        <x:v>310700</x:v>
      </x:c>
    </x:row>
    <x:row r="7">
      <x:c r="A7" t="inlineStr">
        <x:is>
          <x:t xml:space="preserve">Profit Margin</x:t>
        </x:is>
      </x:c>
      <x:c r="B7" s="57" t="n">
        <x:f>Data!H4</x:f>
        <x:v>0.30701754385964913</x:v>
      </x:c>
      <x:c r="C7" s="57" t="n">
        <x:f>Data!H5</x:f>
        <x:v>0.3544715447154472</x:v>
      </x:c>
      <x:c r="D7" s="57" t="n">
        <x:f>Data!H6</x:f>
        <x:v>0.3312</x:v>
      </x:c>
      <x:c r="E7" s="57" t="n">
        <x:f>Data!H7</x:f>
        <x:v>0.35725190839694654</x:v>
      </x:c>
      <x:c r="F7" s="57" t="n">
        <x:f>Data!H8</x:f>
        <x:v>0.3261538461538461</x:v>
      </x:c>
      <x:c r="G7" s="57" t="n">
        <x:f>Data!H9</x:f>
        <x:v>0.36546762589928056</x:v>
      </x:c>
      <x:c r="H7" s="57" t="n">
        <x:f>Data!H10</x:f>
        <x:v>0.35384615384615387</x:v>
      </x:c>
      <x:c r="I7" s="57" t="n">
        <x:f>Data!H11</x:f>
        <x:v>0.3726027397260274</x:v>
      </x:c>
      <x:c r="J7" s="57" t="n">
        <x:f>Data!H12</x:f>
        <x:v>0.3629139072847682</x:v>
      </x:c>
      <x:c r="K7" s="57" t="n">
        <x:f>Data!H13</x:f>
        <x:v>0.38509316770186336</x:v>
      </x:c>
      <x:c r="L7" s="57" t="n">
        <x:f>Data!H14</x:f>
        <x:v>0.3810650887573965</x:v>
      </x:c>
      <x:c r="M7" s="57" t="n">
        <x:f>Data!H15</x:f>
        <x:v>0.393717277486911</x:v>
      </x:c>
      <x:c r="N7" s="57" t="n">
        <x:f>IFERROR(N6/N4,0)</x:f>
        <x:v>0.36065002901915266</x:v>
      </x:c>
    </x:row>
    <x:row r="8">
      <x:c r="A8" t="inlineStr">
        <x:is>
          <x:t xml:space="preserve">Revenue Variance</x:t>
        </x:is>
      </x:c>
      <x:c r="B8" s="55" t="n">
        <x:f>Data!C4-Data!B4</x:f>
        <x:v>-1000</x:v>
      </x:c>
      <x:c r="C8" s="55" t="n">
        <x:f>Data!C5-Data!B5</x:f>
        <x:v>1500</x:v>
      </x:c>
      <x:c r="D8" s="55" t="n">
        <x:f>Data!C6-Data!B6</x:f>
        <x:v>500</x:v>
      </x:c>
      <x:c r="E8" s="55" t="n">
        <x:f>Data!C7-Data!B7</x:f>
        <x:v>1500</x:v>
      </x:c>
      <x:c r="F8" s="55" t="n">
        <x:f>Data!C8-Data!B8</x:f>
        <x:v>-1000</x:v>
      </x:c>
      <x:c r="G8" s="55" t="n">
        <x:f>Data!C9-Data!B9</x:f>
        <x:v>1500</x:v>
      </x:c>
      <x:c r="H8" s="55" t="n">
        <x:f>Data!C10-Data!B10</x:f>
        <x:v>1500</x:v>
      </x:c>
      <x:c r="I8" s="55" t="n">
        <x:f>Data!C11-Data!B11</x:f>
        <x:v>1000</x:v>
      </x:c>
      <x:c r="J8" s="55" t="n">
        <x:f>Data!C12-Data!B12</x:f>
        <x:v>1500</x:v>
      </x:c>
      <x:c r="K8" s="55" t="n">
        <x:f>Data!C13-Data!B13</x:f>
        <x:v>2500</x:v>
      </x:c>
      <x:c r="L8" s="55" t="n">
        <x:f>Data!C14-Data!B14</x:f>
        <x:v>2500</x:v>
      </x:c>
      <x:c r="M8" s="55" t="n">
        <x:f>Data!C15-Data!B15</x:f>
        <x:v>3500</x:v>
      </x:c>
      <x:c r="N8" s="55" t="n">
        <x:f>SUM(B8:M8)</x:f>
        <x:v>15500</x:v>
      </x:c>
    </x:row>
    <x:row r="9">
      <x:c r="A9" t="inlineStr">
        <x:is>
          <x:t xml:space="preserve">Expense Variance</x:t>
        </x:is>
      </x:c>
      <x:c r="B9" s="55" t="n">
        <x:f>Data!D4-Data!E4</x:f>
        <x:v>-500</x:v>
      </x:c>
      <x:c r="C9" s="55" t="n">
        <x:f>Data!D5-Data!E5</x:f>
        <x:v>300</x:v>
      </x:c>
      <x:c r="D9" s="55" t="n">
        <x:f>Data!D6-Data!E6</x:f>
        <x:v>-800</x:v>
      </x:c>
      <x:c r="E9" s="55" t="n">
        <x:f>Data!D7-Data!E7</x:f>
        <x:v>-100</x:v>
      </x:c>
      <x:c r="F9" s="55" t="n">
        <x:f>Data!D8-Data!E8</x:f>
        <x:v>-800</x:v>
      </x:c>
      <x:c r="G9" s="55" t="n">
        <x:f>Data!D9-Data!E9</x:f>
        <x:v>-100</x:v>
      </x:c>
      <x:c r="H9" s="55" t="n">
        <x:f>Data!D10-Data!E10</x:f>
        <x:v>-1200</x:v>
      </x:c>
      <x:c r="I9" s="55" t="n">
        <x:f>Data!D11-Data!E11</x:f>
        <x:v>200</x:v>
      </x:c>
      <x:c r="J9" s="55" t="n">
        <x:f>Data!D12-Data!E12</x:f>
        <x:v>-1100</x:v>
      </x:c>
      <x:c r="K9" s="55" t="n">
        <x:f>Data!D13-Data!E13</x:f>
        <x:v>-500</x:v>
      </x:c>
      <x:c r="L9" s="55" t="n">
        <x:f>Data!D14-Data!E14</x:f>
        <x:v>-1300</x:v>
      </x:c>
      <x:c r="M9" s="55" t="n">
        <x:f>Data!D15-Data!E15</x:f>
        <x:v>-1900</x:v>
      </x:c>
      <x:c r="N9" s="55" t="n">
        <x:f>SUM(B9:M9)</x:f>
        <x:v>-7800</x:v>
      </x:c>
    </x:row>
    <x:row r="10">
      <x:c r="A10" t="inlineStr">
        <x:is>
          <x:t xml:space="preserve">Net Income Variance</x:t>
        </x:is>
      </x:c>
      <x:c r="B10" s="55" t="n">
        <x:f>Data!G4-Data!F4</x:f>
        <x:v>-1500</x:v>
      </x:c>
      <x:c r="C10" s="55" t="n">
        <x:f>Data!G5-Data!F5</x:f>
        <x:v>1800</x:v>
      </x:c>
      <x:c r="D10" s="55" t="n">
        <x:f>Data!G6-Data!F6</x:f>
        <x:v>-300</x:v>
      </x:c>
      <x:c r="E10" s="55" t="n">
        <x:f>Data!G7-Data!F7</x:f>
        <x:v>1400</x:v>
      </x:c>
      <x:c r="F10" s="55" t="n">
        <x:f>Data!G8-Data!F8</x:f>
        <x:v>-1800</x:v>
      </x:c>
      <x:c r="G10" s="55" t="n">
        <x:f>Data!G9-Data!F9</x:f>
        <x:v>1400</x:v>
      </x:c>
      <x:c r="H10" s="55" t="n">
        <x:f>Data!G10-Data!F10</x:f>
        <x:v>300</x:v>
      </x:c>
      <x:c r="I10" s="55" t="n">
        <x:f>Data!G11-Data!F11</x:f>
        <x:v>1200</x:v>
      </x:c>
      <x:c r="J10" s="55" t="n">
        <x:f>Data!G12-Data!F12</x:f>
        <x:v>400</x:v>
      </x:c>
      <x:c r="K10" s="55" t="n">
        <x:f>Data!G13-Data!F13</x:f>
        <x:v>2000</x:v>
      </x:c>
      <x:c r="L10" s="55" t="n">
        <x:f>Data!G14-Data!F14</x:f>
        <x:v>1200</x:v>
      </x:c>
      <x:c r="M10" s="55" t="n">
        <x:f>Data!G15-Data!F15</x:f>
        <x:v>1600</x:v>
      </x:c>
      <x:c r="N10" s="55" t="n">
        <x:f>SUM(B10:M10)</x:f>
        <x:v>7700</x:v>
      </x:c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12" customWidth="1"/>
    <x:col min="11" max="11" width="12" customWidth="1"/>
    <x:col min="12" max="12" width="12" customWidth="1"/>
    <x:col min="13" max="13" width="12" customWidth="1"/>
    <x:col min="14" max="14" width="12" customWidth="1"/>
  </x:cols>
  <x:sheetData>
    <x:row r="1">
      <x:c r="A1" s="5" t="str">
        <x:v>Benevolence Retail Group Ltd | FP&amp;A Budget vs Actual Dashboard</x:v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</x:row>
    <x:row r="3">
      <x:c r="A3" s="39" t="inlineStr">
        <x:is>
          <x:t xml:space="preserve">Actual Revenue</x:t>
        </x:is>
      </x:c>
      <x:c r="B3" s="1" t="n"/>
      <x:c r="C3" s="1" t="n"/>
      <x:c r="E3" s="39" t="inlineStr">
        <x:is>
          <x:t xml:space="preserve">Revenue Variance</x:t>
        </x:is>
      </x:c>
      <x:c r="F3" s="1" t="n"/>
      <x:c r="G3" s="1" t="n"/>
      <x:c r="I3" s="39" t="inlineStr">
        <x:is>
          <x:t xml:space="preserve">Actual Net Income</x:t>
        </x:is>
      </x:c>
      <x:c r="J3" s="1" t="n"/>
      <x:c r="K3" s="1" t="n"/>
      <x:c r="M3" s="39" t="inlineStr">
        <x:is>
          <x:t xml:space="preserve">Profit Margin</x:t>
        </x:is>
      </x:c>
      <x:c r="N3" s="1" t="n"/>
    </x:row>
    <x:row r="4">
      <x:c r="A4" s="59" t="n">
        <x:f>'Budget vs Actual'!C16</x:f>
        <x:v>861500</x:v>
      </x:c>
      <x:c r="B4" s="1" t="n"/>
      <x:c r="C4" s="1" t="n"/>
      <x:c r="E4" s="59" t="n">
        <x:f>'Budget vs Actual'!D16</x:f>
        <x:v>15500</x:v>
      </x:c>
      <x:c r="F4" s="1" t="n"/>
      <x:c r="G4" s="1" t="n"/>
      <x:c r="I4" s="59" t="n">
        <x:f>'Budget vs Actual'!I16</x:f>
        <x:v>310700</x:v>
      </x:c>
      <x:c r="J4" s="1" t="n"/>
      <x:c r="K4" s="1" t="n"/>
      <x:c r="M4" s="60" t="n">
        <x:f>'P&amp;L'!N7</x:f>
        <x:v>0.36065002901915266</x:v>
      </x:c>
      <x:c r="N4" s="1" t="n"/>
    </x:row>
    <x:row r="5">
      <x:c r="A5" s="1" t="n"/>
      <x:c r="B5" s="1" t="n"/>
      <x:c r="C5" s="1" t="n"/>
      <x:c r="E5" s="1" t="n"/>
      <x:c r="F5" s="1" t="n"/>
      <x:c r="G5" s="1" t="n"/>
      <x:c r="I5" s="1" t="n"/>
      <x:c r="J5" s="1" t="n"/>
      <x:c r="K5" s="1" t="n"/>
      <x:c r="M5" s="1" t="n"/>
      <x:c r="N5" s="1" t="n"/>
    </x:row>
    <x:row r="8">
      <x:c r="A8" s="50" t="inlineStr">
        <x:is>
          <x:t xml:space="preserve">Metric</x:t>
        </x:is>
      </x:c>
      <x:c r="B8" s="50" t="inlineStr">
        <x:is>
          <x:t xml:space="preserve">Jan</x:t>
        </x:is>
      </x:c>
      <x:c r="C8" s="50" t="inlineStr">
        <x:is>
          <x:t xml:space="preserve">Feb</x:t>
        </x:is>
      </x:c>
      <x:c r="D8" s="50" t="inlineStr">
        <x:is>
          <x:t xml:space="preserve">Mar</x:t>
        </x:is>
      </x:c>
      <x:c r="E8" s="50" t="inlineStr">
        <x:is>
          <x:t xml:space="preserve">Apr</x:t>
        </x:is>
      </x:c>
      <x:c r="F8" s="50" t="inlineStr">
        <x:is>
          <x:t xml:space="preserve">May</x:t>
        </x:is>
      </x:c>
      <x:c r="G8" s="50" t="inlineStr">
        <x:is>
          <x:t xml:space="preserve">Jun</x:t>
        </x:is>
      </x:c>
      <x:c r="H8" s="50" t="inlineStr">
        <x:is>
          <x:t xml:space="preserve">Jul</x:t>
        </x:is>
      </x:c>
      <x:c r="I8" s="50" t="inlineStr">
        <x:is>
          <x:t xml:space="preserve">Aug</x:t>
        </x:is>
      </x:c>
      <x:c r="J8" s="50" t="inlineStr">
        <x:is>
          <x:t xml:space="preserve">Sep</x:t>
        </x:is>
      </x:c>
      <x:c r="K8" s="50" t="inlineStr">
        <x:is>
          <x:t xml:space="preserve">Oct</x:t>
        </x:is>
      </x:c>
      <x:c r="L8" s="50" t="inlineStr">
        <x:is>
          <x:t xml:space="preserve">Nov</x:t>
        </x:is>
      </x:c>
      <x:c r="M8" s="50" t="inlineStr">
        <x:is>
          <x:t xml:space="preserve">Dec</x:t>
        </x:is>
      </x:c>
    </x:row>
    <x:row r="9">
      <x:c r="A9" t="inlineStr">
        <x:is>
          <x:t xml:space="preserve">Budget Revenue</x:t>
        </x:is>
      </x:c>
      <x:c r="B9" s="55" t="n">
        <x:f>Data!B4</x:f>
        <x:v>58000</x:v>
      </x:c>
      <x:c r="C9" s="55" t="n">
        <x:f>Data!B5</x:f>
        <x:v>60000</x:v>
      </x:c>
      <x:c r="D9" s="55" t="n">
        <x:f>Data!B6</x:f>
        <x:v>62000</x:v>
      </x:c>
      <x:c r="E9" s="55" t="n">
        <x:f>Data!B7</x:f>
        <x:v>64000</x:v>
      </x:c>
      <x:c r="F9" s="55" t="n">
        <x:f>Data!B8</x:f>
        <x:v>66000</x:v>
      </x:c>
      <x:c r="G9" s="55" t="n">
        <x:f>Data!B9</x:f>
        <x:v>68000</x:v>
      </x:c>
      <x:c r="H9" s="55" t="n">
        <x:f>Data!B10</x:f>
        <x:v>70000</x:v>
      </x:c>
      <x:c r="I9" s="55" t="n">
        <x:f>Data!B11</x:f>
        <x:v>72000</x:v>
      </x:c>
      <x:c r="J9" s="55" t="n">
        <x:f>Data!B12</x:f>
        <x:v>74000</x:v>
      </x:c>
      <x:c r="K9" s="55" t="n">
        <x:f>Data!B13</x:f>
        <x:v>78000</x:v>
      </x:c>
      <x:c r="L9" s="55" t="n">
        <x:f>Data!B14</x:f>
        <x:v>82000</x:v>
      </x:c>
      <x:c r="M9" s="55" t="n">
        <x:f>Data!B15</x:f>
        <x:v>92000</x:v>
      </x:c>
    </x:row>
    <x:row r="10">
      <x:c r="A10" t="inlineStr">
        <x:is>
          <x:t xml:space="preserve">Actual Revenue</x:t>
        </x:is>
      </x:c>
      <x:c r="B10" s="55" t="n">
        <x:f>Data!C4</x:f>
        <x:v>57000</x:v>
      </x:c>
      <x:c r="C10" s="55" t="n">
        <x:f>Data!C5</x:f>
        <x:v>61500</x:v>
      </x:c>
      <x:c r="D10" s="55" t="n">
        <x:f>Data!C6</x:f>
        <x:v>62500</x:v>
      </x:c>
      <x:c r="E10" s="55" t="n">
        <x:f>Data!C7</x:f>
        <x:v>65500</x:v>
      </x:c>
      <x:c r="F10" s="55" t="n">
        <x:f>Data!C8</x:f>
        <x:v>65000</x:v>
      </x:c>
      <x:c r="G10" s="55" t="n">
        <x:f>Data!C9</x:f>
        <x:v>69500</x:v>
      </x:c>
      <x:c r="H10" s="55" t="n">
        <x:f>Data!C10</x:f>
        <x:v>71500</x:v>
      </x:c>
      <x:c r="I10" s="55" t="n">
        <x:f>Data!C11</x:f>
        <x:v>73000</x:v>
      </x:c>
      <x:c r="J10" s="55" t="n">
        <x:f>Data!C12</x:f>
        <x:v>75500</x:v>
      </x:c>
      <x:c r="K10" s="55" t="n">
        <x:f>Data!C13</x:f>
        <x:v>80500</x:v>
      </x:c>
      <x:c r="L10" s="55" t="n">
        <x:f>Data!C14</x:f>
        <x:v>84500</x:v>
      </x:c>
      <x:c r="M10" s="55" t="n">
        <x:f>Data!C15</x:f>
        <x:v>95500</x:v>
      </x:c>
    </x:row>
    <x:row r="11">
      <x:c r="A11" t="inlineStr">
        <x:is>
          <x:t xml:space="preserve">Budget Expenses</x:t>
        </x:is>
      </x:c>
      <x:c r="B11" s="55" t="n">
        <x:f>Data!D4</x:f>
        <x:v>39000</x:v>
      </x:c>
      <x:c r="C11" s="55" t="n">
        <x:f>Data!D5</x:f>
        <x:v>40000</x:v>
      </x:c>
      <x:c r="D11" s="55" t="n">
        <x:f>Data!D6</x:f>
        <x:v>41000</x:v>
      </x:c>
      <x:c r="E11" s="55" t="n">
        <x:f>Data!D7</x:f>
        <x:v>42000</x:v>
      </x:c>
      <x:c r="F11" s="55" t="n">
        <x:f>Data!D8</x:f>
        <x:v>43000</x:v>
      </x:c>
      <x:c r="G11" s="55" t="n">
        <x:f>Data!D9</x:f>
        <x:v>44000</x:v>
      </x:c>
      <x:c r="H11" s="55" t="n">
        <x:f>Data!D10</x:f>
        <x:v>45000</x:v>
      </x:c>
      <x:c r="I11" s="55" t="n">
        <x:f>Data!D11</x:f>
        <x:v>46000</x:v>
      </x:c>
      <x:c r="J11" s="55" t="n">
        <x:f>Data!D12</x:f>
        <x:v>47000</x:v>
      </x:c>
      <x:c r="K11" s="55" t="n">
        <x:f>Data!D13</x:f>
        <x:v>49000</x:v>
      </x:c>
      <x:c r="L11" s="55" t="n">
        <x:f>Data!D14</x:f>
        <x:v>51000</x:v>
      </x:c>
      <x:c r="M11" s="55" t="n">
        <x:f>Data!D15</x:f>
        <x:v>56000</x:v>
      </x:c>
    </x:row>
    <x:row r="12">
      <x:c r="A12" t="inlineStr">
        <x:is>
          <x:t xml:space="preserve">Actual Expenses</x:t>
        </x:is>
      </x:c>
      <x:c r="B12" s="55" t="n">
        <x:f>Data!E4</x:f>
        <x:v>39500</x:v>
      </x:c>
      <x:c r="C12" s="55" t="n">
        <x:f>Data!E5</x:f>
        <x:v>39700</x:v>
      </x:c>
      <x:c r="D12" s="55" t="n">
        <x:f>Data!E6</x:f>
        <x:v>41800</x:v>
      </x:c>
      <x:c r="E12" s="55" t="n">
        <x:f>Data!E7</x:f>
        <x:v>42100</x:v>
      </x:c>
      <x:c r="F12" s="55" t="n">
        <x:f>Data!E8</x:f>
        <x:v>43800</x:v>
      </x:c>
      <x:c r="G12" s="55" t="n">
        <x:f>Data!E9</x:f>
        <x:v>44100</x:v>
      </x:c>
      <x:c r="H12" s="55" t="n">
        <x:f>Data!E10</x:f>
        <x:v>46200</x:v>
      </x:c>
      <x:c r="I12" s="55" t="n">
        <x:f>Data!E11</x:f>
        <x:v>45800</x:v>
      </x:c>
      <x:c r="J12" s="55" t="n">
        <x:f>Data!E12</x:f>
        <x:v>48100</x:v>
      </x:c>
      <x:c r="K12" s="55" t="n">
        <x:f>Data!E13</x:f>
        <x:v>49500</x:v>
      </x:c>
      <x:c r="L12" s="55" t="n">
        <x:f>Data!E14</x:f>
        <x:v>52300</x:v>
      </x:c>
      <x:c r="M12" s="55" t="n">
        <x:f>Data!E15</x:f>
        <x:v>57900</x:v>
      </x:c>
    </x:row>
  </x:sheetData>
  <x:mergeCells>
    <x:mergeCell ref="A3:C3"/>
    <x:mergeCell ref="A4:C5"/>
    <x:mergeCell ref="E3:G3"/>
    <x:mergeCell ref="E4:G5"/>
    <x:mergeCell ref="I3:K3"/>
    <x:mergeCell ref="I4:K5"/>
    <x:mergeCell ref="M3:N3"/>
    <x:mergeCell ref="M4:N5"/>
    <x:mergeCell ref="A1:N1"/>
  </x:mergeCells>
  <x:pageMargins left="0.7" right="0.7" top="0.75" bottom="0.75" header="0.3" footer="0.3"/>
  <x:drawing xmlns:r="http://schemas.openxmlformats.org/officeDocument/2006/relationships" r:id="Rcca033f7803d4f76"/>
</x:worksheet>
</file>